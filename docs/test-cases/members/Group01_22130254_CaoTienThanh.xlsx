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TestDesign" sheetId="3" state="visible" r:id="rId3"/>
    <sheet xmlns:r="http://schemas.openxmlformats.org/officeDocument/2006/relationships" name="LEAVE_CONFIG" sheetId="4" state="visible" r:id="rId4"/>
    <sheet xmlns:r="http://schemas.openxmlformats.org/officeDocument/2006/relationships" name="LEAVE_SELF" sheetId="5" state="visible" r:id="rId5"/>
    <sheet xmlns:r="http://schemas.openxmlformats.org/officeDocument/2006/relationships" name="LEAVE_ADMIN" sheetId="6" state="visible" r:id="rId6"/>
    <sheet xmlns:r="http://schemas.openxmlformats.org/officeDocument/2006/relationships" name="Test Data" sheetId="7" state="visible" r:id="rId7"/>
    <sheet xmlns:r="http://schemas.openxmlformats.org/officeDocument/2006/relationships" name="Automation Plan" sheetId="8" state="visible" r:id="rId8"/>
    <sheet xmlns:r="http://schemas.openxmlformats.org/officeDocument/2006/relationships" name="Test Report" sheetId="9" state="visible" r:id="rId9"/>
  </sheets>
  <definedNames/>
</workbook>
</file>

<file path=xl/styles.xml><?xml version="1.0" encoding="utf-8"?>
<styleSheet xmlns="http://schemas.openxmlformats.org/spreadsheetml/2006/main">
  <numFmts count="2">
    <numFmt numFmtId="164" formatCode="dd/mm/yyyy"/>
    <numFmt numFmtId="165" formatCode="0.0%"/>
  </numFmts>
  <fonts count="5">
    <font>
      <name val="Carlito"/>
      <sz val="11"/>
    </font>
    <font>
      <name val="Tahoma"/>
      <color rgb="FF172033"/>
      <sz val="10"/>
    </font>
    <font>
      <name val="Tahoma"/>
      <b val="1"/>
      <color rgb="FF111111"/>
      <sz val="16"/>
    </font>
    <font>
      <name val="Tahoma"/>
      <b val="1"/>
      <color rgb="FF172033"/>
      <sz val="10"/>
    </font>
    <font>
      <name val="Tahoma"/>
      <b val="1"/>
      <color rgb="FFFFFFFF"/>
      <sz val="10"/>
    </font>
  </fonts>
  <fills count="9">
    <fill>
      <patternFill/>
    </fill>
    <fill>
      <patternFill patternType="gray125"/>
    </fill>
    <fill>
      <patternFill patternType="solid">
        <fgColor rgb="FF000080"/>
      </patternFill>
    </fill>
    <fill>
      <patternFill patternType="solid">
        <fgColor rgb="FFEAF0F8"/>
      </patternFill>
    </fill>
    <fill>
      <patternFill patternType="solid">
        <fgColor rgb="FFFFF6D5"/>
      </patternFill>
    </fill>
    <fill>
      <patternFill patternType="solid">
        <fgColor rgb="FFF4F7FB"/>
      </patternFill>
    </fill>
    <fill>
      <patternFill patternType="solid">
        <fgColor rgb="FFFFF6D5"/>
        <bgColor rgb="FFFFF6D5"/>
      </patternFill>
    </fill>
    <fill>
      <patternFill patternType="solid">
        <fgColor rgb="FFF4F7FB"/>
        <bgColor rgb="FFF4F7FB"/>
      </patternFill>
    </fill>
    <fill>
      <patternFill patternType="solid">
        <fgColor rgb="FF000080"/>
        <bgColor rgb="FF000080"/>
      </patternFill>
    </fill>
  </fills>
  <borders count="15">
    <border>
      <left/>
      <right/>
      <top/>
      <bottom/>
      <diagonal/>
    </border>
    <border>
      <left style="thin">
        <color rgb="FFAEB8C6"/>
      </left>
      <right style="thin">
        <color rgb="FFAEB8C6"/>
      </right>
      <top style="thin">
        <color rgb="FFAEB8C6"/>
      </top>
      <bottom style="thin">
        <color rgb="FFAEB8C6"/>
      </bottom>
      <diagonal/>
    </border>
    <border>
      <left/>
      <right/>
      <top style="thin">
        <color rgb="FFAEB8C6"/>
      </top>
      <bottom/>
      <diagonal/>
    </border>
    <border>
      <left/>
      <right style="thin">
        <color rgb="FFAEB8C6"/>
      </right>
      <top style="thin">
        <color rgb="FFAEB8C6"/>
      </top>
      <bottom/>
      <diagonal/>
    </border>
    <border>
      <left/>
      <right/>
      <top style="thin">
        <color rgb="FFAEB8C6"/>
      </top>
      <bottom style="thin">
        <color rgb="FFAEB8C6"/>
      </bottom>
      <diagonal/>
    </border>
    <border>
      <left/>
      <right style="thin">
        <color rgb="FFAEB8C6"/>
      </right>
      <top style="thin">
        <color rgb="FFAEB8C6"/>
      </top>
      <bottom style="thin">
        <color rgb="FFAEB8C6"/>
      </bottom>
      <diagonal/>
    </border>
    <border>
      <left style="thin">
        <color rgb="FFAEB8C6"/>
      </left>
      <right/>
      <top/>
      <bottom/>
      <diagonal/>
    </border>
    <border>
      <left/>
      <right style="thin">
        <color rgb="FFAEB8C6"/>
      </right>
      <top/>
      <bottom/>
      <diagonal/>
    </border>
    <border>
      <left style="thin">
        <color rgb="FFAEB8C6"/>
      </left>
      <right/>
      <top/>
      <bottom style="thin">
        <color rgb="FFAEB8C6"/>
      </bottom>
      <diagonal/>
    </border>
    <border>
      <left/>
      <right/>
      <top/>
      <bottom style="thin">
        <color rgb="FFAEB8C6"/>
      </bottom>
      <diagonal/>
    </border>
    <border>
      <left/>
      <right style="thin">
        <color rgb="FFAEB8C6"/>
      </right>
      <top/>
      <bottom style="thin">
        <color rgb="FFAEB8C6"/>
      </bottom>
      <diagonal/>
    </border>
    <border>
      <left style="thin">
        <color rgb="FFAEB8C6"/>
      </left>
      <right style="thin">
        <color rgb="FFAEB8C6"/>
      </right>
      <top/>
      <bottom/>
      <diagonal/>
    </border>
    <border>
      <left style="thin">
        <color rgb="FFAEB8C6"/>
      </left>
      <right style="thin">
        <color rgb="FFAEB8C6"/>
      </right>
      <top/>
      <bottom style="thin">
        <color rgb="FFAEB8C6"/>
      </bottom>
      <diagonal/>
    </border>
    <border>
      <left style="thin">
        <color rgb="FFAEB8C6"/>
      </left>
      <right style="thin">
        <color rgb="FFAEB8C6"/>
      </right>
      <top style="thin">
        <color rgb="FFAEB8C6"/>
      </top>
      <bottom style="thin">
        <color rgb="FFAEB8C6"/>
      </bottom>
    </border>
    <border/>
  </borders>
  <cellStyleXfs count="1">
    <xf numFmtId="0" fontId="0" fillId="0" borderId="0"/>
  </cellStyleXfs>
  <cellXfs count="6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horizontal="center" vertical="center" wrapText="1"/>
    </xf>
    <xf numFmtId="164" fontId="1" fillId="0" borderId="0" applyAlignment="1" pivotButton="0" quotePrefix="0" xfId="0">
      <alignment vertical="center" wrapText="1"/>
    </xf>
    <xf numFmtId="0" fontId="3" fillId="0" borderId="0" applyAlignment="1" pivotButton="0" quotePrefix="0" xfId="0">
      <alignment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164" fontId="1" fillId="0" borderId="1" applyAlignment="1" pivotButton="0" quotePrefix="0" xfId="0">
      <alignment vertical="center" wrapText="1"/>
    </xf>
    <xf numFmtId="0" fontId="1" fillId="2" borderId="0"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3" borderId="0" applyAlignment="1" pivotButton="0" quotePrefix="0" xfId="0">
      <alignment vertical="center" wrapText="1"/>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0" fontId="1" fillId="5" borderId="0" applyAlignment="1" pivotButton="0" quotePrefix="0" xfId="0">
      <alignment vertical="top" wrapText="1"/>
    </xf>
    <xf numFmtId="0" fontId="1" fillId="4" borderId="0" applyAlignment="1" pivotButton="0" quotePrefix="0" xfId="0">
      <alignment vertical="center" wrapText="1"/>
    </xf>
    <xf numFmtId="165" fontId="1" fillId="0" borderId="0" applyAlignment="1" pivotButton="0" quotePrefix="0" xfId="0">
      <alignment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164" fontId="1" fillId="0" borderId="1" applyAlignment="1" pivotButton="0" quotePrefix="0" xfId="0">
      <alignment vertical="center" wrapText="1"/>
    </xf>
    <xf numFmtId="0" fontId="0" fillId="0" borderId="12" pivotButton="0" quotePrefix="0" xfId="0"/>
    <xf numFmtId="0" fontId="0" fillId="0" borderId="8" pivotButton="0" quotePrefix="0" xfId="0"/>
    <xf numFmtId="0" fontId="0" fillId="0" borderId="9" pivotButton="0" quotePrefix="0" xfId="0"/>
    <xf numFmtId="0" fontId="0" fillId="0" borderId="10" pivotButton="0" quotePrefix="0" xfId="0"/>
    <xf numFmtId="164" fontId="1" fillId="0" borderId="0" applyAlignment="1" pivotButton="0" quotePrefix="0" xfId="0">
      <alignment vertical="center" wrapText="1"/>
    </xf>
    <xf numFmtId="0" fontId="1" fillId="0" borderId="0" applyAlignment="1" pivotButton="0" quotePrefix="0" xfId="0">
      <alignment horizontal="left" vertical="top" wrapText="1"/>
    </xf>
    <xf numFmtId="0" fontId="1" fillId="6" borderId="0" applyAlignment="1" pivotButton="0" quotePrefix="0" xfId="0">
      <alignment horizontal="left" vertical="top" wrapText="1"/>
    </xf>
    <xf numFmtId="164" fontId="1" fillId="0" borderId="0" applyAlignment="1" pivotButton="0" quotePrefix="0" xfId="0">
      <alignment horizontal="left" vertical="top" wrapText="1"/>
    </xf>
    <xf numFmtId="0" fontId="1" fillId="7" borderId="0" applyAlignment="1" pivotButton="0" quotePrefix="0" xfId="0">
      <alignment horizontal="left" vertical="top" wrapText="1"/>
    </xf>
    <xf numFmtId="164" fontId="1" fillId="7" borderId="0" applyAlignment="1" pivotButton="0" quotePrefix="0" xfId="0">
      <alignment horizontal="left" vertical="top" wrapText="1"/>
    </xf>
    <xf numFmtId="0" fontId="4" fillId="8" borderId="0" applyAlignment="1" pivotButton="0" quotePrefix="0" xfId="0">
      <alignment vertical="center" wrapText="1"/>
    </xf>
    <xf numFmtId="0" fontId="1" fillId="2" borderId="0" applyAlignment="1" pivotButton="0" quotePrefix="0" xfId="0">
      <alignment horizontal="left" vertical="top" wrapText="1"/>
    </xf>
    <xf numFmtId="165" fontId="1" fillId="0" borderId="0" applyAlignment="1" pivotButton="0" quotePrefix="0" xfId="0">
      <alignment vertical="center" wrapText="1"/>
    </xf>
    <xf numFmtId="0" fontId="3" fillId="0" borderId="13" applyAlignment="1" pivotButton="0" quotePrefix="0" xfId="0">
      <alignment vertical="center" wrapText="1"/>
    </xf>
    <xf numFmtId="0" fontId="1" fillId="0" borderId="13" applyAlignment="1" pivotButton="0" quotePrefix="0" xfId="0">
      <alignment vertical="center" wrapText="1"/>
    </xf>
    <xf numFmtId="0" fontId="0" fillId="0" borderId="13" pivotButton="0" quotePrefix="0" xfId="0"/>
    <xf numFmtId="164" fontId="1" fillId="0" borderId="13" applyAlignment="1" pivotButton="0" quotePrefix="0" xfId="0">
      <alignment vertical="center" wrapText="1"/>
    </xf>
    <xf numFmtId="0" fontId="4" fillId="2" borderId="13" applyAlignment="1" pivotButton="0" quotePrefix="0" xfId="0">
      <alignment horizontal="center" vertical="center" wrapText="1"/>
    </xf>
    <xf numFmtId="0" fontId="1" fillId="0" borderId="13" applyAlignment="1" pivotButton="0" quotePrefix="0" xfId="0">
      <alignment horizontal="left" vertical="top" wrapText="1"/>
    </xf>
    <xf numFmtId="0" fontId="3" fillId="3" borderId="13" applyAlignment="1" pivotButton="0" quotePrefix="0" xfId="0">
      <alignment horizontal="center" vertical="center" wrapText="1"/>
    </xf>
    <xf numFmtId="0" fontId="1" fillId="0" borderId="13" applyAlignment="1" pivotButton="0" quotePrefix="0" xfId="0">
      <alignment horizontal="center" vertical="center" wrapText="1"/>
    </xf>
    <xf numFmtId="0" fontId="1" fillId="6" borderId="13" applyAlignment="1" pivotButton="0" quotePrefix="0" xfId="0">
      <alignment horizontal="left" vertical="top" wrapText="1"/>
    </xf>
    <xf numFmtId="164" fontId="1" fillId="0" borderId="13" applyAlignment="1" pivotButton="0" quotePrefix="0" xfId="0">
      <alignment horizontal="left" vertical="top" wrapText="1"/>
    </xf>
    <xf numFmtId="0" fontId="1" fillId="7" borderId="13" applyAlignment="1" pivotButton="0" quotePrefix="0" xfId="0">
      <alignment horizontal="left" vertical="top" wrapText="1"/>
    </xf>
    <xf numFmtId="164" fontId="1" fillId="7" borderId="13" applyAlignment="1" pivotButton="0" quotePrefix="0" xfId="0">
      <alignment horizontal="left" vertical="top" wrapText="1"/>
    </xf>
    <xf numFmtId="0" fontId="4" fillId="8" borderId="13" applyAlignment="1" pivotButton="0" quotePrefix="0" xfId="0">
      <alignment vertical="center" wrapText="1"/>
    </xf>
    <xf numFmtId="0" fontId="1" fillId="2" borderId="13" applyAlignment="1" pivotButton="0" quotePrefix="0" xfId="0">
      <alignment horizontal="left" vertical="top" wrapText="1"/>
    </xf>
    <xf numFmtId="0" fontId="1" fillId="4" borderId="13" applyAlignment="1" pivotButton="0" quotePrefix="0" xfId="0">
      <alignment vertical="center" wrapText="1"/>
    </xf>
    <xf numFmtId="0" fontId="3" fillId="3" borderId="13" applyAlignment="1" pivotButton="0" quotePrefix="0" xfId="0">
      <alignment vertical="center" wrapText="1"/>
    </xf>
    <xf numFmtId="165" fontId="1" fillId="0" borderId="13" applyAlignment="1" pivotButton="0" quotePrefix="0" xfId="0">
      <alignment vertical="center" wrapText="1"/>
    </xf>
    <xf numFmtId="0" fontId="1" fillId="0" borderId="14" applyAlignment="1" pivotButton="0" quotePrefix="0" xfId="0">
      <alignment vertical="center" wrapText="1"/>
    </xf>
  </cellXfs>
  <cellStyles count="1">
    <cellStyle name="Normal" xfId="0"/>
  </cellStyles>
  <dxfs count="12">
    <dxf>
      <font>
        <b val="1"/>
        <color rgb="FF20603A"/>
      </font>
      <fill>
        <patternFill>
          <bgColor rgb="FFE7F2E8"/>
        </patternFill>
      </fill>
    </dxf>
    <dxf>
      <font>
        <b val="1"/>
        <color rgb="FFA52323"/>
      </font>
      <fill>
        <patternFill>
          <bgColor rgb="FFFCE8E6"/>
        </patternFill>
      </fill>
    </dxf>
    <dxf>
      <font>
        <b val="1"/>
        <color rgb="FF805A00"/>
      </font>
      <fill>
        <patternFill>
          <bgColor rgb="FFFFF0CE"/>
        </patternFill>
      </fill>
    </dxf>
    <dxf>
      <font>
        <b val="1"/>
        <color rgb="FF525E6D"/>
      </font>
      <fill>
        <patternFill>
          <bgColor rgb="FFECEFF3"/>
        </patternFill>
      </fill>
    </dxf>
    <dxf>
      <font>
        <b val="1"/>
        <color rgb="FF20603A"/>
      </font>
      <fill>
        <patternFill>
          <bgColor rgb="FFE7F2E8"/>
        </patternFill>
      </fill>
    </dxf>
    <dxf>
      <font>
        <b val="1"/>
        <color rgb="FFA52323"/>
      </font>
      <fill>
        <patternFill>
          <bgColor rgb="FFFCE8E6"/>
        </patternFill>
      </fill>
    </dxf>
    <dxf>
      <font>
        <b val="1"/>
        <color rgb="FF805A00"/>
      </font>
      <fill>
        <patternFill>
          <bgColor rgb="FFFFF0CE"/>
        </patternFill>
      </fill>
    </dxf>
    <dxf>
      <font>
        <b val="1"/>
        <color rgb="FF525E6D"/>
      </font>
      <fill>
        <patternFill>
          <bgColor rgb="FFECEFF3"/>
        </patternFill>
      </fill>
    </dxf>
    <dxf>
      <font>
        <b val="1"/>
        <color rgb="FF20603A"/>
      </font>
      <fill>
        <patternFill>
          <bgColor rgb="FFE7F2E8"/>
        </patternFill>
      </fill>
    </dxf>
    <dxf>
      <font>
        <b val="1"/>
        <color rgb="FFA52323"/>
      </font>
      <fill>
        <patternFill>
          <bgColor rgb="FFFCE8E6"/>
        </patternFill>
      </fill>
    </dxf>
    <dxf>
      <font>
        <b val="1"/>
        <color rgb="FF805A00"/>
      </font>
      <fill>
        <patternFill>
          <bgColor rgb="FFFFF0CE"/>
        </patternFill>
      </fill>
    </dxf>
    <dxf>
      <font>
        <b val="1"/>
        <color rgb="FF525E6D"/>
      </font>
      <fill>
        <patternFill>
          <bgColor rgb="FFECEFF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H21"/>
  <sheetViews>
    <sheetView showGridLines="1" workbookViewId="0">
      <selection activeCell="A1" sqref="A1"/>
    </sheetView>
  </sheetViews>
  <sheetFormatPr baseColWidth="8" defaultRowHeight="15"/>
  <cols>
    <col width="3" customWidth="1" min="1" max="1"/>
    <col width="22" customWidth="1" min="2" max="2"/>
    <col width="20" customWidth="1" min="3" max="3"/>
    <col width="20" customWidth="1" min="4" max="4"/>
    <col width="15" customWidth="1" min="5" max="5"/>
    <col width="24" customWidth="1" min="6" max="6"/>
    <col width="34" customWidth="1" min="7" max="7"/>
    <col width="12" customWidth="1" min="8" max="8"/>
  </cols>
  <sheetData>
    <row r="2" ht="42" customHeight="1">
      <c r="B2" s="5" t="inlineStr">
        <is>
          <t>TEST CASE</t>
        </is>
      </c>
      <c r="H2" s="3" t="n"/>
    </row>
    <row r="3">
      <c r="B3" s="3" t="n"/>
      <c r="C3" s="3" t="n"/>
      <c r="D3" s="3" t="n"/>
      <c r="E3" s="3" t="n"/>
      <c r="F3" s="3" t="n"/>
      <c r="G3" s="3" t="n"/>
      <c r="H3" s="3" t="n"/>
    </row>
    <row r="4">
      <c r="B4" s="42" t="inlineStr">
        <is>
          <t>Project Name</t>
        </is>
      </c>
      <c r="C4" s="43" t="inlineStr">
        <is>
          <t>OrangeHRM Leave</t>
        </is>
      </c>
      <c r="D4" s="24" t="n"/>
      <c r="E4" s="25" t="n"/>
      <c r="F4" s="42" t="inlineStr">
        <is>
          <t>Creator</t>
        </is>
      </c>
      <c r="G4" s="43" t="inlineStr">
        <is>
          <t>Cao Tiến Thành</t>
        </is>
      </c>
      <c r="H4" s="3" t="n"/>
    </row>
    <row r="5">
      <c r="B5" s="42" t="inlineStr">
        <is>
          <t>Project Code</t>
        </is>
      </c>
      <c r="C5" s="43" t="inlineStr">
        <is>
          <t>Group01_OrangeHRM</t>
        </is>
      </c>
      <c r="D5" s="24" t="n"/>
      <c r="E5" s="25" t="n"/>
      <c r="F5" s="42" t="inlineStr">
        <is>
          <t>Reviewer / Approver</t>
        </is>
      </c>
      <c r="G5" s="43" t="inlineStr">
        <is>
          <t>Võ Minh Nhựt</t>
        </is>
      </c>
      <c r="H5" s="3" t="n"/>
    </row>
    <row r="6">
      <c r="B6" s="42" t="inlineStr">
        <is>
          <t>Document Code</t>
        </is>
      </c>
      <c r="C6" s="43" t="inlineStr">
        <is>
          <t>Group01_22130254_CaoTienThanh</t>
        </is>
      </c>
      <c r="D6" s="26" t="n"/>
      <c r="E6" s="27" t="n"/>
      <c r="F6" s="42" t="inlineStr">
        <is>
          <t>Issue Date</t>
        </is>
      </c>
      <c r="G6" s="45" t="n">
        <v>46316</v>
      </c>
      <c r="H6" s="3" t="n"/>
    </row>
    <row r="7">
      <c r="B7" s="29" t="n"/>
      <c r="C7" s="30" t="n"/>
      <c r="D7" s="31" t="n"/>
      <c r="E7" s="32" t="n"/>
      <c r="F7" s="42" t="inlineStr">
        <is>
          <t>Version</t>
        </is>
      </c>
      <c r="G7" s="43" t="inlineStr">
        <is>
          <t>1.0</t>
        </is>
      </c>
      <c r="H7" s="3" t="n"/>
    </row>
    <row r="8">
      <c r="B8" s="3" t="n"/>
      <c r="C8" s="3" t="n"/>
      <c r="D8" s="3" t="n"/>
      <c r="E8" s="3" t="n"/>
      <c r="F8" s="3" t="n"/>
      <c r="G8" s="3" t="n"/>
      <c r="H8" s="3" t="n"/>
    </row>
    <row r="9">
      <c r="B9" s="3" t="n"/>
      <c r="C9" s="3" t="n"/>
      <c r="D9" s="3" t="n"/>
      <c r="E9" s="3" t="n"/>
      <c r="F9" s="3" t="n"/>
      <c r="G9" s="3" t="n"/>
      <c r="H9" s="3" t="n"/>
    </row>
    <row r="10">
      <c r="B10" s="7" t="inlineStr">
        <is>
          <t>Record of change</t>
        </is>
      </c>
      <c r="C10" s="3" t="n"/>
      <c r="D10" s="3" t="n"/>
      <c r="E10" s="3" t="n"/>
      <c r="F10" s="3" t="n"/>
      <c r="G10" s="3" t="n"/>
      <c r="H10" s="3" t="n"/>
    </row>
    <row r="11" ht="46" customHeight="1">
      <c r="B11" s="46" t="inlineStr">
        <is>
          <t>Effective Date</t>
        </is>
      </c>
      <c r="C11" s="46" t="inlineStr">
        <is>
          <t>Version</t>
        </is>
      </c>
      <c r="D11" s="46" t="inlineStr">
        <is>
          <t>Change Item</t>
        </is>
      </c>
      <c r="E11" s="46" t="inlineStr">
        <is>
          <t>A, D, M</t>
        </is>
      </c>
      <c r="F11" s="46" t="inlineStr">
        <is>
          <t>Change description</t>
        </is>
      </c>
      <c r="G11" s="46" t="inlineStr">
        <is>
          <t>Reference</t>
        </is>
      </c>
      <c r="H11" s="3" t="n"/>
    </row>
    <row r="12" ht="46" customHeight="1">
      <c r="B12" s="45" t="n">
        <v>46316</v>
      </c>
      <c r="C12" s="43" t="inlineStr">
        <is>
          <t>1.0</t>
        </is>
      </c>
      <c r="D12" s="43" t="inlineStr">
        <is>
          <t>Leave test design</t>
        </is>
      </c>
      <c r="E12" s="43" t="inlineStr">
        <is>
          <t>A</t>
        </is>
      </c>
      <c r="F12" s="43" t="inlineStr">
        <is>
          <t>Thiết kế 75 test case cho 3 chức năng Leave (Leave Types &amp; Entitlements, Apply Leave &amp; My Leave, Leave List &amp; Request Actions).</t>
        </is>
      </c>
      <c r="G12" s="43" t="inlineStr">
        <is>
          <t>ASM06 - Group01</t>
        </is>
      </c>
      <c r="H12" s="3" t="n"/>
    </row>
    <row r="13">
      <c r="B13" s="3" t="n"/>
      <c r="C13" s="3" t="n"/>
      <c r="D13" s="3" t="n"/>
      <c r="E13" s="3" t="n"/>
      <c r="F13" s="3" t="n"/>
      <c r="G13" s="3" t="n"/>
      <c r="H13" s="3" t="n"/>
    </row>
    <row r="14">
      <c r="B14" s="3" t="n"/>
      <c r="C14" s="3" t="n"/>
      <c r="D14" s="3" t="n"/>
      <c r="E14" s="3" t="n"/>
      <c r="F14" s="3" t="n"/>
      <c r="G14" s="3" t="n"/>
      <c r="H14" s="3" t="n"/>
    </row>
    <row r="15" ht="25" customHeight="1">
      <c r="B15" s="42" t="inlineStr">
        <is>
          <t>Student ID</t>
        </is>
      </c>
      <c r="C15" s="43" t="inlineStr">
        <is>
          <t>22130254</t>
        </is>
      </c>
      <c r="D15" s="24" t="n"/>
      <c r="E15" s="24" t="n"/>
      <c r="F15" s="24" t="n"/>
      <c r="G15" s="25" t="n"/>
      <c r="H15" s="3" t="n"/>
    </row>
    <row r="16" ht="25" customHeight="1">
      <c r="B16" s="42" t="inlineStr">
        <is>
          <t>Group</t>
        </is>
      </c>
      <c r="C16" s="43" t="inlineStr">
        <is>
          <t>Group01</t>
        </is>
      </c>
      <c r="D16" s="24" t="n"/>
      <c r="E16" s="24" t="n"/>
      <c r="F16" s="24" t="n"/>
      <c r="G16" s="25" t="n"/>
      <c r="H16" s="3" t="n"/>
    </row>
    <row r="17" ht="25" customHeight="1">
      <c r="B17" s="42" t="inlineStr">
        <is>
          <t>Role</t>
        </is>
      </c>
      <c r="C17" s="43" t="inlineStr">
        <is>
          <t>Thành viên</t>
        </is>
      </c>
      <c r="D17" s="24" t="n"/>
      <c r="E17" s="24" t="n"/>
      <c r="F17" s="24" t="n"/>
      <c r="G17" s="25" t="n"/>
      <c r="H17" s="3" t="n"/>
    </row>
    <row r="18" ht="25" customHeight="1">
      <c r="B18" s="42" t="inlineStr">
        <is>
          <t>Website</t>
        </is>
      </c>
      <c r="C18" s="43" t="inlineStr">
        <is>
          <t>https://opensource-demo.orangehrmlive.com/</t>
        </is>
      </c>
      <c r="D18" s="24" t="n"/>
      <c r="E18" s="24" t="n"/>
      <c r="F18" s="24" t="n"/>
      <c r="G18" s="25" t="n"/>
      <c r="H18" s="3" t="n"/>
    </row>
    <row r="19" ht="25" customHeight="1">
      <c r="B19" s="42" t="inlineStr">
        <is>
          <t>Automation tool</t>
        </is>
      </c>
      <c r="C19" s="43" t="inlineStr">
        <is>
          <t>Playwright (phần Leave của Cao Tiến Thành)</t>
        </is>
      </c>
      <c r="D19" s="24" t="n"/>
      <c r="E19" s="24" t="n"/>
      <c r="F19" s="24" t="n"/>
      <c r="G19" s="25" t="n"/>
      <c r="H19" s="3" t="n"/>
    </row>
    <row r="20" ht="25" customHeight="1">
      <c r="B20" s="42" t="inlineStr">
        <is>
          <t>Scope</t>
        </is>
      </c>
      <c r="C20" s="43" t="inlineStr">
        <is>
          <t>LEAVE_CONFIG, LEAVE_SELF, LEAVE_ADMIN</t>
        </is>
      </c>
      <c r="D20" s="24" t="n"/>
      <c r="E20" s="24" t="n"/>
      <c r="F20" s="24" t="n"/>
      <c r="G20" s="25" t="n"/>
      <c r="H20" s="3" t="n"/>
    </row>
    <row r="21">
      <c r="B21" s="3" t="n"/>
      <c r="C21" s="3" t="n"/>
      <c r="D21" s="3" t="n"/>
      <c r="E21" s="3" t="n"/>
      <c r="F21" s="3" t="n"/>
      <c r="G21" s="3" t="n"/>
      <c r="H21" s="3" t="n"/>
    </row>
  </sheetData>
  <mergeCells count="11">
    <mergeCell ref="B2:G2"/>
    <mergeCell ref="C6:E7"/>
    <mergeCell ref="C20:G20"/>
    <mergeCell ref="C5:E5"/>
    <mergeCell ref="C16:G16"/>
    <mergeCell ref="C15:G15"/>
    <mergeCell ref="C4:E4"/>
    <mergeCell ref="C19:G19"/>
    <mergeCell ref="B6:B7"/>
    <mergeCell ref="C18:G18"/>
    <mergeCell ref="C17:G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H18"/>
  <sheetViews>
    <sheetView showGridLines="1" workbookViewId="0">
      <pane ySplit="8" topLeftCell="A9" activePane="bottomLeft" state="frozen"/>
      <selection activeCell="A1" sqref="A1"/>
    </sheetView>
  </sheetViews>
  <sheetFormatPr baseColWidth="8" defaultRowHeight="15"/>
  <cols>
    <col width="3" customWidth="1" min="1" max="1"/>
    <col width="7" customWidth="1" min="2" max="2"/>
    <col width="30" customWidth="1" min="3" max="3"/>
    <col width="24" customWidth="1" min="4" max="4"/>
    <col width="48" customWidth="1" min="5" max="5"/>
    <col width="45" customWidth="1" min="6" max="6"/>
    <col width="10" customWidth="1" min="7" max="7"/>
    <col width="10" customWidth="1" min="8" max="8"/>
  </cols>
  <sheetData>
    <row r="2" ht="42" customHeight="1">
      <c r="B2" s="5" t="inlineStr">
        <is>
          <t>TEST CASE LIST</t>
        </is>
      </c>
      <c r="G2" s="3" t="n"/>
      <c r="H2" s="3" t="n"/>
    </row>
    <row r="3">
      <c r="B3" s="3" t="n"/>
      <c r="C3" s="3" t="n"/>
      <c r="D3" s="3" t="n"/>
      <c r="E3" s="3" t="n"/>
      <c r="F3" s="3" t="n"/>
      <c r="G3" s="3" t="n"/>
      <c r="H3" s="3" t="n"/>
    </row>
    <row r="4">
      <c r="B4" s="43" t="inlineStr">
        <is>
          <t>Project Name</t>
        </is>
      </c>
      <c r="C4" s="25" t="n"/>
      <c r="D4" s="43">
        <f>'Cover'!C4</f>
        <v/>
      </c>
      <c r="E4" s="24" t="n"/>
      <c r="F4" s="25" t="n"/>
      <c r="G4" s="3" t="n"/>
      <c r="H4" s="3" t="n"/>
    </row>
    <row r="5">
      <c r="B5" s="43" t="inlineStr">
        <is>
          <t>Project Code</t>
        </is>
      </c>
      <c r="C5" s="25" t="n"/>
      <c r="D5" s="43">
        <f>'Cover'!C5</f>
        <v/>
      </c>
      <c r="E5" s="24" t="n"/>
      <c r="F5" s="25" t="n"/>
      <c r="G5" s="3" t="n"/>
      <c r="H5" s="3" t="n"/>
    </row>
    <row r="6" ht="38" customHeight="1">
      <c r="B6" s="43" t="inlineStr">
        <is>
          <t>Test Environment</t>
        </is>
      </c>
      <c r="C6" s="25" t="n"/>
      <c r="D6" s="43" t="inlineStr">
        <is>
          <t>OrangeHRM public demo; Admin; trình duyệt và phiên bản ghi khi chạy.</t>
        </is>
      </c>
      <c r="E6" s="24" t="n"/>
      <c r="F6" s="25" t="n"/>
      <c r="G6" s="3" t="n"/>
      <c r="H6" s="3" t="n"/>
    </row>
    <row r="7">
      <c r="B7" s="3" t="n"/>
      <c r="C7" s="3" t="n"/>
      <c r="D7" s="3" t="n"/>
      <c r="E7" s="3" t="n"/>
      <c r="F7" s="3" t="n"/>
      <c r="G7" s="3" t="n"/>
      <c r="H7" s="3" t="n"/>
    </row>
    <row r="8">
      <c r="B8" s="46" t="inlineStr">
        <is>
          <t>No.</t>
        </is>
      </c>
      <c r="C8" s="46" t="inlineStr">
        <is>
          <t>Function Name</t>
        </is>
      </c>
      <c r="D8" s="46" t="inlineStr">
        <is>
          <t>Sheet Name</t>
        </is>
      </c>
      <c r="E8" s="46" t="inlineStr">
        <is>
          <t>Description</t>
        </is>
      </c>
      <c r="F8" s="46" t="inlineStr">
        <is>
          <t>Pre-condition</t>
        </is>
      </c>
      <c r="G8" s="3" t="n"/>
      <c r="H8" s="3" t="n"/>
    </row>
    <row r="9" ht="74" customHeight="1">
      <c r="B9" s="43" t="n">
        <v>1</v>
      </c>
      <c r="C9" s="43" t="inlineStr">
        <is>
          <t>Leave Types và Entitlements</t>
        </is>
      </c>
      <c r="D9" s="43" t="inlineStr">
        <is>
          <t>LEAVE_CONFIG</t>
        </is>
      </c>
      <c r="E9" s="43" t="inlineStr">
        <is>
          <t>Cấu hình loại nghỉ phép (Leave Type), tính chất phép (Situational), thêm và kiểm tra hạn mức nghỉ phép (Entitlements) cho nhân viên.</t>
        </is>
      </c>
      <c r="F9" s="43" t="inlineStr">
        <is>
          <t>Admin đã đăng nhập. Nhân viên fixture F_EMP và Leave Period 2026 đã sẵn sàng.</t>
        </is>
      </c>
      <c r="G9" s="3" t="n"/>
      <c r="H9" s="3" t="n"/>
    </row>
    <row r="10" ht="74" customHeight="1">
      <c r="B10" s="43" t="n">
        <v>2</v>
      </c>
      <c r="C10" s="43" t="inlineStr">
        <is>
          <t>Apply Leave và My Leave</t>
        </is>
      </c>
      <c r="D10" s="43" t="inlineStr">
        <is>
          <t>LEAVE_SELF</t>
        </is>
      </c>
      <c r="E10" s="43" t="inlineStr">
        <is>
          <t>Nộp đơn xin nghỉ phép (Apply Leave), kiểm tra số dư phép (Leave Balance), khoảng ngày, tùy chọn nghỉ, tra cứu và hủy đơn trong My Leave.</t>
        </is>
      </c>
      <c r="F10" s="43" t="inlineStr">
        <is>
          <t>Admin/Nhân viên đã đăng nhập. Nhân viên có đủ hạn mức phép hợp lệ và fixture F_APPLY đã chuẩn bị.</t>
        </is>
      </c>
      <c r="G10" s="3" t="n"/>
      <c r="H10" s="3" t="n"/>
    </row>
    <row r="11" ht="74" customHeight="1">
      <c r="B11" s="43" t="n">
        <v>3</v>
      </c>
      <c r="C11" s="43" t="inlineStr">
        <is>
          <t>Leave List và Request Actions</t>
        </is>
      </c>
      <c r="D11" s="43" t="inlineStr">
        <is>
          <t>LEAVE_ADMIN</t>
        </is>
      </c>
      <c r="E11" s="43" t="inlineStr">
        <is>
          <t>Tra cứu danh sách đơn xin nghỉ phép, lọc theo trạng thái/thời gian/nhân viên, thực hiện phê duyệt (Approve), từ chối (Reject), hủy bỏ (Cancel) và bình luận.</t>
        </is>
      </c>
      <c r="F11" s="43" t="inlineStr">
        <is>
          <t>Admin đã đăng nhập. Có sẵn các đơn xin nghỉ phép ở trạng thái Pending Approval và Scheduled do fixture tạo ra.</t>
        </is>
      </c>
      <c r="G11" s="3" t="n"/>
      <c r="H11" s="3" t="n"/>
    </row>
    <row r="12">
      <c r="B12" s="3" t="n"/>
      <c r="C12" s="3" t="n"/>
      <c r="D12" s="3" t="n"/>
      <c r="E12" s="3" t="n"/>
      <c r="F12" s="3" t="n"/>
      <c r="G12" s="3" t="n"/>
      <c r="H12" s="3" t="n"/>
    </row>
    <row r="13">
      <c r="B13" s="3" t="n"/>
      <c r="C13" s="3" t="n"/>
      <c r="D13" s="3" t="n"/>
      <c r="E13" s="3" t="n"/>
      <c r="F13" s="3" t="n"/>
      <c r="G13" s="3" t="n"/>
      <c r="H13" s="3" t="n"/>
    </row>
    <row r="14" ht="38" customHeight="1">
      <c r="B14" s="43" t="inlineStr">
        <is>
          <t>Mỗi sheet có 25 test case. Input nằm trong Test Case Procedure; mã TD trong Note liên kết TestDesign.</t>
        </is>
      </c>
      <c r="C14" s="24" t="n"/>
      <c r="D14" s="24" t="n"/>
      <c r="E14" s="24" t="n"/>
      <c r="F14" s="25" t="n"/>
      <c r="G14" s="3" t="n"/>
      <c r="H14" s="3" t="n"/>
    </row>
    <row r="15">
      <c r="B15" s="3" t="n"/>
      <c r="C15" s="3" t="n"/>
      <c r="D15" s="3" t="n"/>
      <c r="E15" s="3" t="n"/>
      <c r="F15" s="3" t="n"/>
      <c r="G15" s="3" t="n"/>
      <c r="H15" s="3" t="n"/>
    </row>
    <row r="16" ht="40" customHeight="1">
      <c r="B16" s="43" t="inlineStr">
        <is>
          <t>Result: Passed, Failed, Untested, Blocked hoặc Skipped. Actual result, Defect ID và đường dẫn ảnh/log được ghi vào Note sau run.</t>
        </is>
      </c>
      <c r="C16" s="24" t="n"/>
      <c r="D16" s="24" t="n"/>
      <c r="E16" s="24" t="n"/>
      <c r="F16" s="25" t="n"/>
      <c r="G16" s="3" t="n"/>
      <c r="H16" s="3" t="n"/>
    </row>
    <row r="17">
      <c r="B17" s="3" t="n"/>
      <c r="C17" s="3" t="n"/>
      <c r="D17" s="3" t="n"/>
      <c r="E17" s="3" t="n"/>
      <c r="F17" s="3" t="n"/>
      <c r="G17" s="3" t="n"/>
      <c r="H17" s="3" t="n"/>
    </row>
    <row r="18">
      <c r="B18" s="3" t="n"/>
      <c r="C18" s="3" t="n"/>
      <c r="D18" s="3" t="n"/>
      <c r="E18" s="3" t="n"/>
      <c r="F18" s="3" t="n"/>
      <c r="G18" s="3" t="n"/>
      <c r="H18" s="3" t="n"/>
    </row>
  </sheetData>
  <mergeCells count="9">
    <mergeCell ref="B6:C6"/>
    <mergeCell ref="D5:F5"/>
    <mergeCell ref="B2:F2"/>
    <mergeCell ref="B16:F16"/>
    <mergeCell ref="B5:C5"/>
    <mergeCell ref="D4:F4"/>
    <mergeCell ref="B14:F14"/>
    <mergeCell ref="D6:F6"/>
    <mergeCell ref="B4:C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activeCell="A1" sqref="A1"/>
    </sheetView>
  </sheetViews>
  <sheetFormatPr baseColWidth="8" defaultRowHeight="15"/>
  <cols>
    <col width="18" customWidth="1" min="1" max="1"/>
    <col width="29" customWidth="1" min="2" max="2"/>
    <col width="33" customWidth="1" min="3" max="3"/>
    <col width="68" customWidth="1" min="4" max="4"/>
    <col width="27" customWidth="1" min="5" max="5"/>
    <col width="76" customWidth="1" min="6" max="6"/>
  </cols>
  <sheetData>
    <row r="1" ht="30" customHeight="1">
      <c r="A1" s="46" t="inlineStr">
        <is>
          <t>Req Level 1</t>
        </is>
      </c>
      <c r="B1" s="46" t="inlineStr">
        <is>
          <t>Req Level 2</t>
        </is>
      </c>
      <c r="C1" s="46" t="inlineStr">
        <is>
          <t>Req Level 3</t>
        </is>
      </c>
      <c r="D1" s="46" t="inlineStr">
        <is>
          <t>Test Criteria</t>
        </is>
      </c>
      <c r="E1" s="46" t="inlineStr">
        <is>
          <t>Test Type</t>
        </is>
      </c>
      <c r="F1" s="46" t="inlineStr">
        <is>
          <t>Note</t>
        </is>
      </c>
      <c r="G1" s="3" t="n"/>
      <c r="H1" s="3" t="n"/>
    </row>
    <row r="2" ht="74" customHeight="1">
      <c r="A2" s="47" t="inlineStr">
        <is>
          <t>LEAVE_CONFIG</t>
        </is>
      </c>
      <c r="B2" s="47" t="inlineStr">
        <is>
          <t>Leave Types và Entitlements</t>
        </is>
      </c>
      <c r="C2" s="47" t="inlineStr">
        <is>
          <t>Tạo và quản lý Leave Type</t>
        </is>
      </c>
      <c r="D2" s="47" t="inlineStr">
        <is>
          <t>Tạo tối thiểu/đầy đủ; kiểm tra Is Entitlement Situational (Yes/No); lưu thành công.</t>
        </is>
      </c>
      <c r="E2" s="47" t="inlineStr">
        <is>
          <t>Phân vùng tương đương</t>
        </is>
      </c>
      <c r="F2" s="47" t="inlineStr">
        <is>
          <t>TD_LEAVE_CONFIG_01
TC_LEAVE_CONFIG_001, TC_LEAVE_CONFIG_002, TC_LEAVE_CONFIG_008</t>
        </is>
      </c>
      <c r="G2" s="3" t="n"/>
      <c r="H2" s="3" t="n"/>
    </row>
    <row r="3" ht="138" customHeight="1">
      <c r="A3" s="47" t="inlineStr">
        <is>
          <t>LEAVE_CONFIG</t>
        </is>
      </c>
      <c r="B3" s="47" t="inlineStr">
        <is>
          <t>Leave Types và Entitlements</t>
        </is>
      </c>
      <c r="C3" s="47" t="inlineStr">
        <is>
          <t>Validation tên Leave Type</t>
        </is>
      </c>
      <c r="D3" s="47" t="inlineStr">
        <is>
          <t>Tên bắt buộc, khoảng trắng; biên 50/51 ký tự; kiểm tra trùng lặp tên đã tồn tại.</t>
        </is>
      </c>
      <c r="E3" s="47" t="inlineStr">
        <is>
          <t>Phân vùng tương đương
Phân tích giá trị biên</t>
        </is>
      </c>
      <c r="F3" s="47" t="inlineStr">
        <is>
          <t>TD_LEAVE_CONFIG_02
TC_LEAVE_CONFIG_003, TC_LEAVE_CONFIG_004, TC_LEAVE_CONFIG_005, TC_LEAVE_CONFIG_006, TC_LEAVE_CONFIG_007</t>
        </is>
      </c>
      <c r="G3" s="3" t="n"/>
      <c r="H3" s="3" t="n"/>
    </row>
    <row r="4" ht="74" customHeight="1">
      <c r="A4" s="47" t="inlineStr">
        <is>
          <t>LEAVE_CONFIG</t>
        </is>
      </c>
      <c r="B4" s="47" t="inlineStr">
        <is>
          <t>Leave Types và Entitlements</t>
        </is>
      </c>
      <c r="C4" s="47" t="inlineStr">
        <is>
          <t>Sửa và xóa Leave Type</t>
        </is>
      </c>
      <c r="D4" s="47" t="inlineStr">
        <is>
          <t>Sửa tên/tính chất; hủy tạo/sửa; xóa loại phép với modal xác nhận; hủy xóa.</t>
        </is>
      </c>
      <c r="E4" s="47" t="inlineStr">
        <is>
          <t>Chuyển trạng thái
Phân vùng tương đương</t>
        </is>
      </c>
      <c r="F4" s="47" t="inlineStr">
        <is>
          <t>TD_LEAVE_CONFIG_03
TC_LEAVE_CONFIG_009, TC_LEAVE_CONFIG_010, TC_LEAVE_CONFIG_011, TC_LEAVE_CONFIG_012, TC_LEAVE_CONFIG_013, TC_LEAVE_CONFIG_014, TC_LEAVE_CONFIG_015</t>
        </is>
      </c>
      <c r="G4" s="3" t="n"/>
      <c r="H4" s="3" t="n"/>
    </row>
    <row r="5" ht="78" customHeight="1">
      <c r="A5" s="47" t="inlineStr">
        <is>
          <t>LEAVE_CONFIG</t>
        </is>
      </c>
      <c r="B5" s="47" t="inlineStr">
        <is>
          <t>Leave Types và Entitlements</t>
        </is>
      </c>
      <c r="C5" s="47" t="inlineStr">
        <is>
          <t>Thêm Entitlement cá nhân</t>
        </is>
      </c>
      <c r="D5" s="47" t="inlineStr">
        <is>
          <t>Thêm hạn mức số ngày nguyên (15.0), số thập phân (7.5); chọn nhân viên qua autocomplete; xác nhận popup.</t>
        </is>
      </c>
      <c r="E5" s="47" t="inlineStr">
        <is>
          <t>Phân vùng tương đương</t>
        </is>
      </c>
      <c r="F5" s="47" t="inlineStr">
        <is>
          <t>TD_LEAVE_CONFIG_04
TC_LEAVE_CONFIG_016, TC_LEAVE_CONFIG_017, TC_LEAVE_CONFIG_025</t>
        </is>
      </c>
      <c r="G5" s="3" t="n"/>
      <c r="H5" s="3" t="n"/>
    </row>
    <row r="6" ht="102" customHeight="1">
      <c r="A6" s="47" t="inlineStr">
        <is>
          <t>LEAVE_CONFIG</t>
        </is>
      </c>
      <c r="B6" s="47" t="inlineStr">
        <is>
          <t>Leave Types và Entitlements</t>
        </is>
      </c>
      <c r="C6" s="47" t="inlineStr">
        <is>
          <t>Validation trường Entitlement</t>
        </is>
      </c>
      <c r="D6" s="47" t="inlineStr">
        <is>
          <t>Bắt buộc Employee/Leave Type/Entitlement; kiểm tra số âm, chữ, số thập phân quá 2 chữ số.</t>
        </is>
      </c>
      <c r="E6" s="47" t="inlineStr">
        <is>
          <t>Phân tích giá trị biên
Phân vùng tương đương</t>
        </is>
      </c>
      <c r="F6" s="47" t="inlineStr">
        <is>
          <t>TD_LEAVE_CONFIG_05
TC_LEAVE_CONFIG_018, TC_LEAVE_CONFIG_019, TC_LEAVE_CONFIG_020, TC_LEAVE_CONFIG_021, TC_LEAVE_CONFIG_022, TC_LEAVE_CONFIG_023, TC_LEAVE_CONFIG_024</t>
        </is>
      </c>
      <c r="G6" s="3" t="n"/>
      <c r="H6" s="3" t="n"/>
    </row>
    <row r="7" ht="78" customHeight="1">
      <c r="A7" s="47" t="inlineStr">
        <is>
          <t>LEAVE_SELF</t>
        </is>
      </c>
      <c r="B7" s="47" t="inlineStr">
        <is>
          <t>Apply Leave và My Leave</t>
        </is>
      </c>
      <c r="C7" s="47" t="inlineStr">
        <is>
          <t>Nộp đơn xin nghỉ phép</t>
        </is>
      </c>
      <c r="D7" s="47" t="inlineStr">
        <is>
          <t>Nộp đơn 1 ngày, nhiều ngày; kiểm tra cập nhật Leave Balance; nhập ghi chú Comments.</t>
        </is>
      </c>
      <c r="E7" s="47" t="inlineStr">
        <is>
          <t>Phân vùng tương đương
Chuyển trạng thái</t>
        </is>
      </c>
      <c r="F7" s="47" t="inlineStr">
        <is>
          <t>TD_LEAVE_SELF_01
TC_LEAVE_SELF_001, TC_LEAVE_SELF_002, TC_LEAVE_SELF_003, TC_LEAVE_SELF_008</t>
        </is>
      </c>
      <c r="G7" s="3" t="n"/>
      <c r="H7" s="3" t="n"/>
    </row>
    <row r="8" ht="102" customHeight="1">
      <c r="A8" s="47" t="inlineStr">
        <is>
          <t>LEAVE_SELF</t>
        </is>
      </c>
      <c r="B8" s="47" t="inlineStr">
        <is>
          <t>Apply Leave và My Leave</t>
        </is>
      </c>
      <c r="C8" s="47" t="inlineStr">
        <is>
          <t>Validation các trường nộp đơn</t>
        </is>
      </c>
      <c r="D8" s="47" t="inlineStr">
        <is>
          <t>Bắt buộc Leave Type, From Date, To Date; ngày không tồn tại (30/02, 31/04).</t>
        </is>
      </c>
      <c r="E8" s="47" t="inlineStr">
        <is>
          <t>Phân vùng tương đương</t>
        </is>
      </c>
      <c r="F8" s="47" t="inlineStr">
        <is>
          <t>TD_LEAVE_SELF_02
TC_LEAVE_SELF_004, TC_LEAVE_SELF_005, TC_LEAVE_SELF_006, TC_LEAVE_SELF_009, TC_LEAVE_SELF_010</t>
        </is>
      </c>
      <c r="G8" s="3" t="n"/>
      <c r="H8" s="3" t="n"/>
    </row>
    <row r="9" ht="102" customHeight="1">
      <c r="A9" s="47" t="inlineStr">
        <is>
          <t>LEAVE_SELF</t>
        </is>
      </c>
      <c r="B9" s="47" t="inlineStr">
        <is>
          <t>Apply Leave và My Leave</t>
        </is>
      </c>
      <c r="C9" s="47" t="inlineStr">
        <is>
          <t>Khoảng ngày và trùng lịch</t>
        </is>
      </c>
      <c r="D9" s="47" t="inlineStr">
        <is>
          <t>To Date trước From Date; số dư bằng 0; kiểm tra trùng lặp lịch hoàn toàn và trùng 1 phần (Overlapping).</t>
        </is>
      </c>
      <c r="E9" s="47" t="inlineStr">
        <is>
          <t>Bảng quyết định
Phân tích giá trị biên</t>
        </is>
      </c>
      <c r="F9" s="47" t="inlineStr">
        <is>
          <t>TD_LEAVE_SELF_03
TC_LEAVE_SELF_007, TC_LEAVE_SELF_011, TC_LEAVE_SELF_012, TC_LEAVE_SELF_013</t>
        </is>
      </c>
      <c r="G9" s="3" t="n"/>
      <c r="H9" s="3" t="n"/>
    </row>
    <row r="10" ht="78" customHeight="1">
      <c r="A10" s="47" t="inlineStr">
        <is>
          <t>LEAVE_SELF</t>
        </is>
      </c>
      <c r="B10" s="47" t="inlineStr">
        <is>
          <t>Apply Leave và My Leave</t>
        </is>
      </c>
      <c r="C10" s="47" t="inlineStr">
        <is>
          <t>Comments và bộ lọc My Leave</t>
        </is>
      </c>
      <c r="D10" s="47" t="inlineStr">
        <is>
          <t>Biên Comments 250/251; xem danh sách; lọc theo ngày, theo status, theo Leave Type, nút Reset.</t>
        </is>
      </c>
      <c r="E10" s="47" t="inlineStr">
        <is>
          <t>Phân tích giá trị biên
Bảng quyết định</t>
        </is>
      </c>
      <c r="F10" s="47" t="inlineStr">
        <is>
          <t>TD_LEAVE_SELF_04
TC_LEAVE_SELF_014, TC_LEAVE_SELF_015, TC_LEAVE_SELF_016, TC_LEAVE_SELF_017, TC_LEAVE_SELF_018, TC_LEAVE_SELF_019, TC_LEAVE_SELF_020, TC_LEAVE_SELF_021</t>
        </is>
      </c>
      <c r="G10" s="3" t="n"/>
      <c r="H10" s="3" t="n"/>
    </row>
    <row r="11" ht="90" customHeight="1">
      <c r="A11" s="47" t="inlineStr">
        <is>
          <t>LEAVE_SELF</t>
        </is>
      </c>
      <c r="B11" s="47" t="inlineStr">
        <is>
          <t>Apply Leave và My Leave</t>
        </is>
      </c>
      <c r="C11" s="47" t="inlineStr">
        <is>
          <t>Hủy đơn trong My Leave</t>
        </is>
      </c>
      <c r="D11" s="47" t="inlineStr">
        <is>
          <t>Hủy đơn Pending Approval; hủy đơn Scheduled; chặn hủy đơn Rejected/Taken; hoàn lại Leave Balance.</t>
        </is>
      </c>
      <c r="E11" s="47" t="inlineStr">
        <is>
          <t>Chuyển trạng thái
Phân vùng tương đương</t>
        </is>
      </c>
      <c r="F11" s="47" t="inlineStr">
        <is>
          <t>TD_LEAVE_SELF_05
TC_LEAVE_SELF_022, TC_LEAVE_SELF_023, TC_LEAVE_SELF_024, TC_LEAVE_SELF_025</t>
        </is>
      </c>
      <c r="G11" s="3" t="n"/>
      <c r="H11" s="3" t="n"/>
    </row>
    <row r="12" ht="74" customHeight="1">
      <c r="A12" s="47" t="inlineStr">
        <is>
          <t>LEAVE_ADMIN</t>
        </is>
      </c>
      <c r="B12" s="47" t="inlineStr">
        <is>
          <t>Leave List và Request Actions</t>
        </is>
      </c>
      <c r="C12" s="47" t="inlineStr">
        <is>
          <t>Tìm kiếm và lọc danh sách đơn</t>
        </is>
      </c>
      <c r="D12" s="47" t="inlineStr">
        <is>
          <t>Lọc theo Employee Name qua autocomplete, Sub Unit, Leave Type, khoảng thời gian From-To; lỗi From &gt; To.</t>
        </is>
      </c>
      <c r="E12" s="47" t="inlineStr">
        <is>
          <t>Bảng quyết định
Phân vùng tương đương</t>
        </is>
      </c>
      <c r="F12" s="47" t="inlineStr">
        <is>
          <t>TD_LEAVE_ADMIN_01
TC_LEAVE_ADMIN_001, TC_LEAVE_ADMIN_002, TC_LEAVE_ADMIN_003, TC_LEAVE_ADMIN_004, TC_LEAVE_ADMIN_005, TC_LEAVE_ADMIN_006</t>
        </is>
      </c>
      <c r="G12" s="3" t="n"/>
      <c r="H12" s="3" t="n"/>
    </row>
    <row r="13" ht="102" customHeight="1">
      <c r="A13" s="47" t="inlineStr">
        <is>
          <t>LEAVE_ADMIN</t>
        </is>
      </c>
      <c r="B13" s="47" t="inlineStr">
        <is>
          <t>Leave List và Request Actions</t>
        </is>
      </c>
      <c r="C13" s="47" t="inlineStr">
        <is>
          <t>Lọc trạng thái và hiển thị</t>
        </is>
      </c>
      <c r="D13" s="47" t="inlineStr">
        <is>
          <t>Lọc đa trạng thái; bật toggle Include Past Employees; Reset bộ lọc; phân trang và sắp xếp Date.</t>
        </is>
      </c>
      <c r="E13" s="47" t="inlineStr">
        <is>
          <t>Chuyển trạng thái
Phân vùng tương đương</t>
        </is>
      </c>
      <c r="F13" s="47" t="inlineStr">
        <is>
          <t>TD_LEAVE_ADMIN_02
TC_LEAVE_ADMIN_007, TC_LEAVE_ADMIN_008, TC_LEAVE_ADMIN_009, TC_LEAVE_ADMIN_023, TC_LEAVE_ADMIN_024</t>
        </is>
      </c>
      <c r="G13" s="3" t="n"/>
      <c r="H13" s="3" t="n"/>
    </row>
    <row r="14" ht="74" customHeight="1">
      <c r="A14" s="47" t="inlineStr">
        <is>
          <t>LEAVE_ADMIN</t>
        </is>
      </c>
      <c r="B14" s="47" t="inlineStr">
        <is>
          <t>Leave List và Request Actions</t>
        </is>
      </c>
      <c r="C14" s="47" t="inlineStr">
        <is>
          <t>Phê duyệt đơn nghỉ phép</t>
        </is>
      </c>
      <c r="D14" s="47" t="inlineStr">
        <is>
          <t>Approve đơn Pending chuyển sang Scheduled; kiểm tra đồng bộ phía My Leave; chặn Approve lại đơn đã kết thúc.</t>
        </is>
      </c>
      <c r="E14" s="47" t="inlineStr">
        <is>
          <t>Chuyển trạng thái</t>
        </is>
      </c>
      <c r="F14" s="47" t="inlineStr">
        <is>
          <t>TD_LEAVE_ADMIN_03
TC_LEAVE_ADMIN_010, TC_LEAVE_ADMIN_011, TC_LEAVE_ADMIN_015, TC_LEAVE_ADMIN_016</t>
        </is>
      </c>
      <c r="G14" s="3" t="n"/>
      <c r="H14" s="3" t="n"/>
    </row>
    <row r="15" ht="90" customHeight="1">
      <c r="A15" s="47" t="inlineStr">
        <is>
          <t>LEAVE_ADMIN</t>
        </is>
      </c>
      <c r="B15" s="47" t="inlineStr">
        <is>
          <t>Leave List và Request Actions</t>
        </is>
      </c>
      <c r="C15" s="47" t="inlineStr">
        <is>
          <t>Từ chối đơn và hoàn trả hạn mức</t>
        </is>
      </c>
      <c r="D15" s="47" t="inlineStr">
        <is>
          <t>Reject đơn Pending; trạng thái thành Rejected; kiểm tra số dư Leave Balance được hoàn lại cho nhân viên.</t>
        </is>
      </c>
      <c r="E15" s="47" t="inlineStr">
        <is>
          <t>Chuyển trạng thái
Bảng quyết định</t>
        </is>
      </c>
      <c r="F15" s="47" t="inlineStr">
        <is>
          <t>TD_LEAVE_ADMIN_04
TC_LEAVE_ADMIN_012, TC_LEAVE_ADMIN_013</t>
        </is>
      </c>
      <c r="G15" s="3" t="n"/>
      <c r="H15" s="3" t="n"/>
    </row>
    <row r="16" ht="138" customHeight="1">
      <c r="A16" s="47" t="inlineStr">
        <is>
          <t>LEAVE_ADMIN</t>
        </is>
      </c>
      <c r="B16" s="47" t="inlineStr">
        <is>
          <t>Leave List và Request Actions</t>
        </is>
      </c>
      <c r="C16" s="47" t="inlineStr">
        <is>
          <t>Admin Cancel, Comments và Thao tác loạt</t>
        </is>
      </c>
      <c r="D16" s="47" t="inlineStr">
        <is>
          <t>Admin Cancel đơn Scheduled; xem và thêm Admin Comment; chọn tất cả checkbox; bulk Approve/Reject; đối chiếu số ngày/balance.</t>
        </is>
      </c>
      <c r="E16" s="47" t="inlineStr">
        <is>
          <t>Chuyển trạng thái
Bảng quyết định</t>
        </is>
      </c>
      <c r="F16" s="47" t="inlineStr">
        <is>
          <t>TD_LEAVE_ADMIN_05
TC_LEAVE_ADMIN_014, TC_LEAVE_ADMIN_017, TC_LEAVE_ADMIN_018, TC_LEAVE_ADMIN_019, TC_LEAVE_ADMIN_020, TC_LEAVE_ADMIN_021, TC_LEAVE_ADMIN_022, TC_LEAVE_ADMIN_025</t>
        </is>
      </c>
      <c r="G16" s="3" t="n"/>
      <c r="H16" s="3" t="n"/>
    </row>
    <row r="17">
      <c r="A17" s="3" t="n"/>
      <c r="B17" s="3" t="n"/>
      <c r="C17" s="3" t="n"/>
      <c r="D17" s="3" t="n"/>
      <c r="E17" s="3" t="n"/>
      <c r="F17" s="3" t="n"/>
      <c r="G17" s="3" t="n"/>
      <c r="H17" s="3" t="n"/>
    </row>
  </sheetData>
  <pageMargins left="0.7" right="0.7" top="0.75" bottom="0.75" header="0.3" footer="0.3"/>
</worksheet>
</file>

<file path=xl/worksheets/sheet4.xml><?xml version="1.0" encoding="utf-8"?>
<worksheet xmlns="http://schemas.openxmlformats.org/spreadsheetml/2006/main">
  <sheetPr>
    <tabColor rgb="FF1F4E78"/>
    <outlinePr summaryBelow="1" summaryRight="1"/>
    <pageSetUpPr/>
  </sheetPr>
  <dimension ref="A1:H33"/>
  <sheetViews>
    <sheetView showGridLines="1" workbookViewId="0">
      <pane xSplit="1" ySplit="8" topLeftCell="B9" activePane="bottomRight" state="frozen"/>
      <selection activeCell="A1" sqref="A1"/>
    </sheetView>
  </sheetViews>
  <sheetFormatPr baseColWidth="8" defaultRowHeight="15"/>
  <cols>
    <col width="25" customWidth="1" min="1" max="1"/>
    <col width="36" customWidth="1" min="2" max="2"/>
    <col width="72" customWidth="1" min="3" max="3"/>
    <col width="65" customWidth="1" min="4" max="4"/>
    <col width="24" customWidth="1" min="5" max="5"/>
    <col width="14" customWidth="1" min="6" max="6"/>
    <col width="15" customWidth="1" min="7" max="7"/>
    <col width="40" customWidth="1" min="8" max="8"/>
  </cols>
  <sheetData>
    <row r="1">
      <c r="A1" s="3" t="n"/>
      <c r="B1" s="3" t="n"/>
      <c r="C1" s="3" t="n"/>
      <c r="D1" s="3" t="n"/>
      <c r="E1" s="3" t="n"/>
      <c r="F1" s="3" t="n"/>
      <c r="G1" s="3" t="n"/>
      <c r="H1" s="3" t="n"/>
    </row>
    <row r="2">
      <c r="A2" s="7" t="inlineStr">
        <is>
          <t>Module Code</t>
        </is>
      </c>
      <c r="B2" s="3" t="inlineStr">
        <is>
          <t>LEAVE_CONFIG</t>
        </is>
      </c>
    </row>
    <row r="3">
      <c r="A3" s="7" t="inlineStr">
        <is>
          <t>Test requirement</t>
        </is>
      </c>
      <c r="B3" s="3" t="inlineStr">
        <is>
          <t>Leave Types và Entitlements</t>
        </is>
      </c>
    </row>
    <row r="4">
      <c r="A4" s="7" t="inlineStr">
        <is>
          <t>Tester</t>
        </is>
      </c>
      <c r="B4" s="3" t="inlineStr">
        <is>
          <t>Cao Tiến Thành - 22130254</t>
        </is>
      </c>
    </row>
    <row r="5" ht="24" customHeight="1">
      <c r="A5" s="48" t="inlineStr">
        <is>
          <t>Passed</t>
        </is>
      </c>
      <c r="B5" s="48" t="inlineStr">
        <is>
          <t>Failed</t>
        </is>
      </c>
      <c r="C5" s="48" t="inlineStr">
        <is>
          <t>Untested</t>
        </is>
      </c>
      <c r="D5" s="48" t="inlineStr">
        <is>
          <t>Blocked</t>
        </is>
      </c>
      <c r="E5" s="48" t="inlineStr">
        <is>
          <t>Skipped</t>
        </is>
      </c>
      <c r="F5" s="48" t="inlineStr">
        <is>
          <t>Number of Test cases</t>
        </is>
      </c>
      <c r="G5" s="24" t="n"/>
      <c r="H5" s="25" t="n"/>
    </row>
    <row r="6" ht="24" customHeight="1">
      <c r="A6" s="49">
        <f>COUNTIF($F$9:$F$33,"Passed")</f>
        <v/>
      </c>
      <c r="B6" s="49">
        <f>COUNTIF($F$9:$F$33,"Failed")</f>
        <v/>
      </c>
      <c r="C6" s="49">
        <f>COUNTIF($F$9:$F$33,"Untested")</f>
        <v/>
      </c>
      <c r="D6" s="49">
        <f>COUNTIF($F$9:$F$33,"Blocked")</f>
        <v/>
      </c>
      <c r="E6" s="49">
        <f>COUNTIF($F$9:$F$33,"Skipped")</f>
        <v/>
      </c>
      <c r="F6" s="49">
        <f>COUNTA(A9:A33)</f>
        <v/>
      </c>
      <c r="G6" s="24" t="n"/>
      <c r="H6" s="25" t="n"/>
    </row>
    <row r="7">
      <c r="A7" s="3" t="n"/>
      <c r="B7" s="3" t="n"/>
      <c r="C7" s="3" t="n"/>
      <c r="D7" s="3" t="n"/>
      <c r="E7" s="3" t="n"/>
      <c r="F7" s="3" t="n"/>
      <c r="G7" s="3" t="n"/>
      <c r="H7" s="3" t="n"/>
    </row>
    <row r="8" ht="34" customHeight="1">
      <c r="A8" s="46" t="inlineStr">
        <is>
          <t>ID</t>
        </is>
      </c>
      <c r="B8" s="46" t="inlineStr">
        <is>
          <t>Test Case Description</t>
        </is>
      </c>
      <c r="C8" s="46" t="inlineStr">
        <is>
          <t>Test Case Procedure</t>
        </is>
      </c>
      <c r="D8" s="46" t="inlineStr">
        <is>
          <t>Expected Output</t>
        </is>
      </c>
      <c r="E8" s="46" t="inlineStr">
        <is>
          <t>Inter-test case Dependence</t>
        </is>
      </c>
      <c r="F8" s="46" t="inlineStr">
        <is>
          <t>Result</t>
        </is>
      </c>
      <c r="G8" s="46" t="inlineStr">
        <is>
          <t>Test date</t>
        </is>
      </c>
      <c r="H8" s="46" t="inlineStr">
        <is>
          <t>Note</t>
        </is>
      </c>
    </row>
    <row r="9" ht="140" customHeight="1">
      <c r="A9" s="47" t="inlineStr">
        <is>
          <t>TC_LEAVE_CONFIG_001</t>
        </is>
      </c>
      <c r="B9" s="47" t="inlineStr">
        <is>
          <t>Thêm mới Leave Type với các trường bắt buộc</t>
        </is>
      </c>
      <c r="C9" s="47" t="inlineStr">
        <is>
          <t>Tiền điều kiện: Admin đã đăng nhập. Bộ fixture F_TYPE chưa tồn tại.
Input: Name=G01T01_Annual; Is Entitlement Situational=No (mặc định)
1. Vào Leave &gt; Configure &gt; Leave Types.
2. Bấm nút + Add.
3. Nhập Name, giữ nguyên Situational là No.
4. Bấm Save. Đối chiếu danh sách Leave Types.
Kết thúc: khôi phục fixture theo Test Data.</t>
        </is>
      </c>
      <c r="D9" s="47" t="inlineStr">
        <is>
          <t>Hiển thị thông báo lưu thành công (Successfully Saved). Danh sách có đúng loại nghỉ phép G01T01_Annual với Situational=No.</t>
        </is>
      </c>
      <c r="E9" s="47" t="inlineStr">
        <is>
          <t>Không phụ thuộc TC khác; dùng fixture setup.</t>
        </is>
      </c>
      <c r="F9" s="50" t="inlineStr">
        <is>
          <t>Untested</t>
        </is>
      </c>
      <c r="G9" s="51" t="n"/>
      <c r="H9" s="47" t="inlineStr">
        <is>
          <t>TD_LEAVE_CONFIG_01
Positive; Phân vùng tương đương
Automation: P1</t>
        </is>
      </c>
    </row>
    <row r="10" ht="140" customHeight="1">
      <c r="A10" s="52" t="inlineStr">
        <is>
          <t>TC_LEAVE_CONFIG_002</t>
        </is>
      </c>
      <c r="B10" s="52" t="inlineStr">
        <is>
          <t>Thêm mới Leave Type với tùy chọn Situational = Yes</t>
        </is>
      </c>
      <c r="C10" s="52" t="inlineStr">
        <is>
          <t>Tiền điều kiện: Admin đã đăng nhập. Bộ fixture F_TYPE_SIT chưa tồn tại.
Input: Name=G01T01_Maternity; Is Entitlement Situational=Yes
1. Vào Leave &gt; Configure &gt; Leave Types &gt; Add.
2. Nhập Name=G01T01_Maternity.
3. Chọn radio Is Entitlement Situational=Yes.
4. Bấm Save. Mở lại bản ghi để kiểm tra.
Kết thúc: khôi phục fixture theo Test Data.</t>
        </is>
      </c>
      <c r="D10" s="52" t="inlineStr">
        <is>
          <t>Lưu thành công. Khi mở lại bản ghi G01T01_Maternity, radio Is Entitlement Situational được chọn là Yes.</t>
        </is>
      </c>
      <c r="E10" s="52" t="inlineStr">
        <is>
          <t>Không phụ thuộc TC khác; dùng fixture setup.</t>
        </is>
      </c>
      <c r="F10" s="50" t="inlineStr">
        <is>
          <t>Untested</t>
        </is>
      </c>
      <c r="G10" s="53" t="n"/>
      <c r="H10" s="52" t="inlineStr">
        <is>
          <t>TD_LEAVE_CONFIG_01
Positive; Phân vùng tương đương
Automation: P1</t>
        </is>
      </c>
    </row>
    <row r="11" ht="140" customHeight="1">
      <c r="A11" s="47" t="inlineStr">
        <is>
          <t>TC_LEAVE_CONFIG_003</t>
        </is>
      </c>
      <c r="B11" s="47" t="inlineStr">
        <is>
          <t>Bỏ trống trường Leave Type Name</t>
        </is>
      </c>
      <c r="C11" s="47" t="inlineStr">
        <is>
          <t>Tiền điều kiện: Admin đã đăng nhập.
Input: Name rỗng; Is Entitlement Situational=No
1. Vào Leave &gt; Configure &gt; Leave Types &gt; Add.
2. Để trống ô Name.
3. Bấm Save.
4. Quan sát thông báo lỗi tại form.
Kết thúc: khôi phục fixture theo Test Data.</t>
        </is>
      </c>
      <c r="D11" s="47" t="inlineStr">
        <is>
          <t>Trường Name hiển thị thông báo lỗi "Required". Không tạo Leave Type mới và form không đóng.</t>
        </is>
      </c>
      <c r="E11" s="47" t="inlineStr">
        <is>
          <t>Không phụ thuộc TC khác; dùng fixture setup.</t>
        </is>
      </c>
      <c r="F11" s="50" t="inlineStr">
        <is>
          <t>Untested</t>
        </is>
      </c>
      <c r="G11" s="51" t="n"/>
      <c r="H11" s="47" t="inlineStr">
        <is>
          <t>TD_LEAVE_CONFIG_02
Negative; Phân vùng tương đương
Automation: P1</t>
        </is>
      </c>
    </row>
    <row r="12" ht="140" customHeight="1">
      <c r="A12" s="52" t="inlineStr">
        <is>
          <t>TC_LEAVE_CONFIG_004</t>
        </is>
      </c>
      <c r="B12" s="52" t="inlineStr">
        <is>
          <t>Nhập Leave Type Name chỉ chứa khoảng trắng</t>
        </is>
      </c>
      <c r="C12" s="52" t="inlineStr">
        <is>
          <t>Tiền điều kiện: Admin đã đăng nhập.
Input: Name="   " (3 dấu cách)
1. Mở form Add Leave Type.
2. Nhập 3 dấu cách vào ô Name.
3. Bấm Save.
4. Quan sát phản hồi validation của hệ thống.
Kết thúc: khôi phục fixture theo Test Data.</t>
        </is>
      </c>
      <c r="D12" s="52" t="inlineStr">
        <is>
          <t>Hệ thống từ chối lưu và hiển thị thông báo lỗi "Required" hoặc không hợp lệ do chuỗi chỉ có khoảng trắng. Không tạo bản ghi.</t>
        </is>
      </c>
      <c r="E12" s="52" t="inlineStr">
        <is>
          <t>Không phụ thuộc TC khác; dùng fixture setup.</t>
        </is>
      </c>
      <c r="F12" s="50" t="inlineStr">
        <is>
          <t>Untested</t>
        </is>
      </c>
      <c r="G12" s="53" t="n"/>
      <c r="H12" s="52" t="inlineStr">
        <is>
          <t>TD_LEAVE_CONFIG_02
Negative; Phân vùng tương đương
Automation: P1</t>
        </is>
      </c>
    </row>
    <row r="13" ht="140" customHeight="1">
      <c r="A13" s="47" t="inlineStr">
        <is>
          <t>TC_LEAVE_CONFIG_005</t>
        </is>
      </c>
      <c r="B13" s="47" t="inlineStr">
        <is>
          <t>Leave Type Name đúng biên tối đa 50 ký tự</t>
        </is>
      </c>
      <c r="C13" s="47" t="inlineStr">
        <is>
          <t>Tiền điều kiện: Admin đã đăng nhập.
Input: Name=chuỗi đúng 50 ký tự (G01T01_AAAAAAAAAAAAAAAAAAAAAAAAAAAAAAAAAAAAAAAAAAAA); Situational=No
1. Mở Add Leave Type.
2. Nhập chuỗi 50 ký tự hợp lệ vào Name.
3. Bấm Save. Tìm bản ghi trong danh sách.
Kết thúc: khôi phục fixture theo Test Data.</t>
        </is>
      </c>
      <c r="D13" s="47" t="inlineStr">
        <is>
          <t>Lưu thành công. Bản ghi hiển thị nguyên vẹn đầy đủ 50 ký tự trong danh sách Leave Types mà không bị cắt bớt.</t>
        </is>
      </c>
      <c r="E13" s="47" t="inlineStr">
        <is>
          <t>Không phụ thuộc TC khác; dùng fixture setup.</t>
        </is>
      </c>
      <c r="F13" s="50" t="inlineStr">
        <is>
          <t>Untested</t>
        </is>
      </c>
      <c r="G13" s="51" t="n"/>
      <c r="H13" s="47" t="inlineStr">
        <is>
          <t>TD_LEAVE_CONFIG_02
Positive; Phân tích giá trị biên
Automation: P1</t>
        </is>
      </c>
    </row>
    <row r="14" ht="142" customHeight="1">
      <c r="A14" s="52" t="inlineStr">
        <is>
          <t>TC_LEAVE_CONFIG_006</t>
        </is>
      </c>
      <c r="B14" s="52" t="inlineStr">
        <is>
          <t>Leave Type Name vượt biên 50 ký tự (51 ký tự)</t>
        </is>
      </c>
      <c r="C14" s="52" t="inlineStr">
        <is>
          <t>Tiền điều kiện: Admin đã đăng nhập.
Input: Name=chuỗi 51 ký tự (G01T01_AAAAAAAAAAAAAAAAAAAAAAAAAAAAAAAAAAAAAAAAAAAAA)
1. Mở Add Leave Type.
2. Nhập chuỗi 51 ký tự vào Name.
3. Bấm Save (hoặc quan sát kiểm tra độ dài).
Kết thúc: khôi phục fixture theo Test Data.</t>
        </is>
      </c>
      <c r="D14" s="52" t="inlineStr">
        <is>
          <t>Hiển thị lỗi giới hạn ký tự "Should not exceed 50 characters" hoặc input chặn không cho nhập ký tự thứ 51. Không lưu giá trị 51 ký tự.</t>
        </is>
      </c>
      <c r="E14" s="52" t="inlineStr">
        <is>
          <t>Không phụ thuộc TC khác; dùng fixture setup.</t>
        </is>
      </c>
      <c r="F14" s="50" t="inlineStr">
        <is>
          <t>Untested</t>
        </is>
      </c>
      <c r="G14" s="53" t="n"/>
      <c r="H14" s="52" t="inlineStr">
        <is>
          <t>TD_LEAVE_CONFIG_02
Negative; Phân tích giá trị biên
Automation: P1</t>
        </is>
      </c>
    </row>
    <row r="15" ht="142" customHeight="1">
      <c r="A15" s="47" t="inlineStr">
        <is>
          <t>TC_LEAVE_CONFIG_007</t>
        </is>
      </c>
      <c r="B15" s="47" t="inlineStr">
        <is>
          <t>Nhập Leave Type Name trùng với tên loại phép đã tồn tại</t>
        </is>
      </c>
      <c r="C15" s="47" t="inlineStr">
        <is>
          <t>Tiền điều kiện: Admin đã đăng nhập. Loại phép F_TYPE (G01T01_Annual) đã tồn tại trong hệ thống.
Input: Name=G01T01_Annual (trùng hoàn toàn F_TYPE)
1. Mở Add Leave Type.
2. Nhập Name=G01T01_Annual.
3. Bấm Save.
Kết thúc: khôi phục fixture theo Test Data.</t>
        </is>
      </c>
      <c r="D15" s="47" t="inlineStr">
        <is>
          <t>Hiển thị thông báo lỗi "Already exists" tại trường Name. Hệ thống không cho phép lưu bản ghi trùng tên.</t>
        </is>
      </c>
      <c r="E15" s="47" t="inlineStr">
        <is>
          <t>Không phụ thuộc TC khác; dùng fixture setup.</t>
        </is>
      </c>
      <c r="F15" s="50" t="inlineStr">
        <is>
          <t>Untested</t>
        </is>
      </c>
      <c r="G15" s="51" t="n"/>
      <c r="H15" s="47" t="inlineStr">
        <is>
          <t>TD_LEAVE_CONFIG_02
Negative; Phân vùng tương đương
Automation: P1</t>
        </is>
      </c>
    </row>
    <row r="16" ht="142" customHeight="1">
      <c r="A16" s="52" t="inlineStr">
        <is>
          <t>TC_LEAVE_CONFIG_008</t>
        </is>
      </c>
      <c r="B16" s="52" t="inlineStr">
        <is>
          <t>Nhập Leave Type Name chứa chữ, số và dấu gạch nối hợp lệ</t>
        </is>
      </c>
      <c r="C16" s="52" t="inlineStr">
        <is>
          <t>Tiền điều kiện: Admin đã đăng nhập.
Input: Name="G01T01_Casual-Leave_2026"; Situational=No
1. Mở Add Leave Type.
2. Nhập tên chứa chữ, số, dấu gạch nối và gạch dưới.
3. Bấm Save. Đối chiếu trong danh sách.
Kết thúc: khôi phục fixture theo Test Data.</t>
        </is>
      </c>
      <c r="D16" s="52" t="inlineStr">
        <is>
          <t>Lưu thành công, tên hiển thị chính xác "G01T01_Casual-Leave_2026" trong danh sách Leave Types.</t>
        </is>
      </c>
      <c r="E16" s="52" t="inlineStr">
        <is>
          <t>Không phụ thuộc TC khác; dùng fixture setup.</t>
        </is>
      </c>
      <c r="F16" s="50" t="inlineStr">
        <is>
          <t>Untested</t>
        </is>
      </c>
      <c r="G16" s="53" t="n"/>
      <c r="H16" s="52" t="inlineStr">
        <is>
          <t>TD_LEAVE_CONFIG_01
Positive; Phân vùng tương đương
Automation: P1</t>
        </is>
      </c>
    </row>
    <row r="17" ht="142" customHeight="1">
      <c r="A17" s="47" t="inlineStr">
        <is>
          <t>TC_LEAVE_CONFIG_009</t>
        </is>
      </c>
      <c r="B17" s="47" t="inlineStr">
        <is>
          <t>Hủy thao tác thêm mới Leave Type</t>
        </is>
      </c>
      <c r="C17" s="47" t="inlineStr">
        <is>
          <t>Tiền điều kiện: Admin đã đăng nhập.
Input: Name=G01T01_CancelType
1. Mở Add Leave Type, nhập dữ liệu vào Name.
2. Bấm nút Cancel thay vì Save.
3. Tìm kiếm tên vừa nhập trong danh sách Leave Types.
Kết thúc: khôi phục fixture theo Test Data.</t>
        </is>
      </c>
      <c r="D17" s="47" t="inlineStr">
        <is>
          <t>Form thêm mới đóng lại, quay về danh sách Leave Types. Không xuất hiện loại phép G01T01_CancelType.</t>
        </is>
      </c>
      <c r="E17" s="47" t="inlineStr">
        <is>
          <t>Không phụ thuộc TC khác; dùng fixture setup.</t>
        </is>
      </c>
      <c r="F17" s="50" t="inlineStr">
        <is>
          <t>Untested</t>
        </is>
      </c>
      <c r="G17" s="51" t="n"/>
      <c r="H17" s="47" t="inlineStr">
        <is>
          <t>TD_LEAVE_CONFIG_03
Positive; Phân vùng tương đương
Automation: P1</t>
        </is>
      </c>
    </row>
    <row r="18" ht="142" customHeight="1">
      <c r="A18" s="52" t="inlineStr">
        <is>
          <t>TC_LEAVE_CONFIG_010</t>
        </is>
      </c>
      <c r="B18" s="52" t="inlineStr">
        <is>
          <t>Chỉnh sửa tên Leave Type thành tên mới hợp lệ</t>
        </is>
      </c>
      <c r="C18" s="52" t="inlineStr">
        <is>
          <t>Tiền điều kiện: Admin đã đăng nhập. Bản ghi G01T01_Annual tồn tại.
Input: Name mới=G01T01_Annual_Updated
1. Vào Leave Types, tìm dòng G01T01_Annual, bấm icon Edit.
2. Thay đổi Name thành G01T01_Annual_Updated.
3. Bấm Save. Tải lại trang danh sách.
Kết thúc: khôi phục fixture theo Test Data.</t>
        </is>
      </c>
      <c r="D18" s="52" t="inlineStr">
        <is>
          <t>Thông báo "Successfully Updated". Dòng loại phép hiển thị tên mới G01T01_Annual_Updated, tên cũ không còn.</t>
        </is>
      </c>
      <c r="E18" s="52" t="inlineStr">
        <is>
          <t>Không phụ thuộc TC khác; dùng fixture setup.</t>
        </is>
      </c>
      <c r="F18" s="50" t="inlineStr">
        <is>
          <t>Untested</t>
        </is>
      </c>
      <c r="G18" s="53" t="n"/>
      <c r="H18" s="52" t="inlineStr">
        <is>
          <t>TD_LEAVE_CONFIG_03
Positive; Chuyển trạng thái
Automation: P1</t>
        </is>
      </c>
    </row>
    <row r="19" ht="142" customHeight="1">
      <c r="A19" s="47" t="inlineStr">
        <is>
          <t>TC_LEAVE_CONFIG_011</t>
        </is>
      </c>
      <c r="B19" s="47" t="inlineStr">
        <is>
          <t>Chỉnh sửa Leave Type đổi Is Entitlement Situational từ No sang Yes</t>
        </is>
      </c>
      <c r="C19" s="47" t="inlineStr">
        <is>
          <t>Tiền điều kiện: Admin đã đăng nhập. Bản ghi G01T01_Annual_Updated có Situational=No.
Input: Situational đổi thành Yes
1. Mở Edit bản ghi G01T01_Annual_Updated.
2. Chọn radio Is Entitlement Situational=Yes.
3. Bấm Save. Mở lại bản ghi kiểm tra.
Kết thúc: khôi phục fixture theo Test Data.</t>
        </is>
      </c>
      <c r="D19" s="47" t="inlineStr">
        <is>
          <t>Lưu thành công. Radio Situational giữ giá trị Yes sau khi reload trang.</t>
        </is>
      </c>
      <c r="E19" s="47" t="inlineStr">
        <is>
          <t>Không phụ thuộc TC khác; dùng fixture setup.</t>
        </is>
      </c>
      <c r="F19" s="50" t="inlineStr">
        <is>
          <t>Untested</t>
        </is>
      </c>
      <c r="G19" s="51" t="n"/>
      <c r="H19" s="47" t="inlineStr">
        <is>
          <t>TD_LEAVE_CONFIG_03
Positive; Chuyển trạng thái
Automation: P1</t>
        </is>
      </c>
    </row>
    <row r="20" ht="140" customHeight="1">
      <c r="A20" s="52" t="inlineStr">
        <is>
          <t>TC_LEAVE_CONFIG_012</t>
        </is>
      </c>
      <c r="B20" s="52" t="inlineStr">
        <is>
          <t>Chỉnh sửa Leave Type nhưng xóa trống trường Name</t>
        </is>
      </c>
      <c r="C20" s="52" t="inlineStr">
        <is>
          <t>Tiền điều kiện: Admin đã đăng nhập. Bản ghi G01T01_Annual_Updated tồn tại.
Input: Name xóa rỗng
1. Mở Edit bản ghi G01T01_Annual_Updated.
2. Xóa toàn bộ nội dung trong ô Name.
3. Bấm Save.
Kết thúc: khôi phục fixture theo Test Data.</t>
        </is>
      </c>
      <c r="D20" s="52" t="inlineStr">
        <is>
          <t>Hiển thị lỗi "Required" tại trường Name. Hệ thống không lưu tên rỗng, dữ liệu cũ vẫn giữ nguyên khi reload.</t>
        </is>
      </c>
      <c r="E20" s="52" t="inlineStr">
        <is>
          <t>Không phụ thuộc TC khác; dùng fixture setup.</t>
        </is>
      </c>
      <c r="F20" s="50" t="inlineStr">
        <is>
          <t>Untested</t>
        </is>
      </c>
      <c r="G20" s="53" t="n"/>
      <c r="H20" s="52" t="inlineStr">
        <is>
          <t>TD_LEAVE_CONFIG_03
Negative; Phân vùng tương đương
Automation: P1</t>
        </is>
      </c>
    </row>
    <row r="21" ht="140" customHeight="1">
      <c r="A21" s="47" t="inlineStr">
        <is>
          <t>TC_LEAVE_CONFIG_013</t>
        </is>
      </c>
      <c r="B21" s="47" t="inlineStr">
        <is>
          <t>Chỉnh sửa Leave Type nhưng bấm Cancel</t>
        </is>
      </c>
      <c r="C21" s="47" t="inlineStr">
        <is>
          <t>Tiền điều kiện: Admin đã đăng nhập. Bản ghi G01T01_Annual_Updated tồn tại.
Input: Nhập tên mới tạm thời nhưng Cancel
1. Mở Edit bản ghi, nhập tên khác.
2. Bấm nút Cancel.
3. Kiểm tra tên trong danh sách.
Kết thúc: khôi phục fixture theo Test Data.</t>
        </is>
      </c>
      <c r="D21" s="47" t="inlineStr">
        <is>
          <t>Đóng form chỉnh sửa. Tên bản ghi trong danh sách vẫn giữ nguyên giá trị trước khi sửa.</t>
        </is>
      </c>
      <c r="E21" s="47" t="inlineStr">
        <is>
          <t>Không phụ thuộc TC khác; dùng fixture setup.</t>
        </is>
      </c>
      <c r="F21" s="50" t="inlineStr">
        <is>
          <t>Untested</t>
        </is>
      </c>
      <c r="G21" s="51" t="n"/>
      <c r="H21" s="47" t="inlineStr">
        <is>
          <t>TD_LEAVE_CONFIG_03
Positive; Chuyển trạng thái
Automation: P1</t>
        </is>
      </c>
    </row>
    <row r="22" ht="140" customHeight="1">
      <c r="A22" s="52" t="inlineStr">
        <is>
          <t>TC_LEAVE_CONFIG_014</t>
        </is>
      </c>
      <c r="B22" s="52" t="inlineStr">
        <is>
          <t>Xóa Leave Type của nhóm và xác nhận trên modal</t>
        </is>
      </c>
      <c r="C22" s="52" t="inlineStr">
        <is>
          <t>Tiền điều kiện: Admin đã đăng nhập. Bản ghi fixture G01T01_DeleteType đã tạo trước.
Input: Chọn xóa dòng G01T01_DeleteType
1. Vào Leave Types, bấm icon Delete tại dòng G01T01_DeleteType.
2. Modal xác nhận hiện ra, bấm "Yes, Delete".
3. Quan sát thông báo và danh sách.
Kết thúc: khôi phục fixture theo Test Data.</t>
        </is>
      </c>
      <c r="D22" s="52" t="inlineStr">
        <is>
          <t>Hiển thị thông báo "Successfully Deleted". Bản ghi G01T01_DeleteType biến mất hoàn toàn khỏi danh sách.</t>
        </is>
      </c>
      <c r="E22" s="52" t="inlineStr">
        <is>
          <t>Không phụ thuộc TC khác; dùng fixture setup.</t>
        </is>
      </c>
      <c r="F22" s="50" t="inlineStr">
        <is>
          <t>Untested</t>
        </is>
      </c>
      <c r="G22" s="53" t="n"/>
      <c r="H22" s="52" t="inlineStr">
        <is>
          <t>TD_LEAVE_CONFIG_03
Positive; Chuyển trạng thái
Automation: P1
Chỉ xóa bản ghi fixture của nhóm.</t>
        </is>
      </c>
    </row>
    <row r="23" ht="140" customHeight="1">
      <c r="A23" s="47" t="inlineStr">
        <is>
          <t>TC_LEAVE_CONFIG_015</t>
        </is>
      </c>
      <c r="B23" s="47" t="inlineStr">
        <is>
          <t>Hủy thao tác xóa Leave Type trên modal xác nhận</t>
        </is>
      </c>
      <c r="C23" s="47" t="inlineStr">
        <is>
          <t>Tiền điều kiện: Admin đã đăng nhập. Bản ghi G01T01_Annual_Updated tồn tại.
Input: Bấm Delete nhưng chọn No, Cancel
1. Bấm icon Delete tại dòng G01T01_Annual_Updated.
2. Trên modal xác nhận, bấm nút "No, Cancel".
3. Kiểm tra danh sách bản ghi.
Kết thúc: khôi phục fixture theo Test Data.</t>
        </is>
      </c>
      <c r="D23" s="47" t="inlineStr">
        <is>
          <t>Modal đóng lại. Bản ghi G01T01_Annual_Updated vẫn còn nguyên vẹn trong danh sách, không bị xóa.</t>
        </is>
      </c>
      <c r="E23" s="47" t="inlineStr">
        <is>
          <t>Không phụ thuộc TC khác; dùng fixture setup.</t>
        </is>
      </c>
      <c r="F23" s="50" t="inlineStr">
        <is>
          <t>Untested</t>
        </is>
      </c>
      <c r="G23" s="51" t="n"/>
      <c r="H23" s="47" t="inlineStr">
        <is>
          <t>TD_LEAVE_CONFIG_03
Positive; Chuyển trạng thái
Automation: P1</t>
        </is>
      </c>
    </row>
    <row r="24" ht="140" customHeight="1">
      <c r="A24" s="52" t="inlineStr">
        <is>
          <t>TC_LEAVE_CONFIG_016</t>
        </is>
      </c>
      <c r="B24" s="52" t="inlineStr">
        <is>
          <t>Thêm Leave Entitlement hợp lệ với số ngày nguyên cho nhân viên</t>
        </is>
      </c>
      <c r="C24" s="52" t="inlineStr">
        <is>
          <t>Tiền điều kiện: Admin đã đăng nhập. Nhân viên F_EMP tồn tại. Loại phép F_TYPE sẵn sàng.
Input: Add to=Individual Employee; Employee=F_EMP; Leave Type=F_TYPE; Leave Period=2026; Entitlement=15.00
1. Vào Leave &gt; Entitlements &gt; Add Entitlements.
2. Chọn Individual Employee, gõ gợi ý và chọn F_EMP.
3. Chọn Leave Type F_TYPE, chọn kỳ nghỉ phép 2026.
4. Nhập Entitlement=15.00, bấm Save. Xác nhận popup nếu có.
Kết thúc: khôi phục fixture theo Test Data.</t>
        </is>
      </c>
      <c r="D24" s="52" t="inlineStr">
        <is>
          <t>Thông báo "Successfully Saved". Khi kiểm tra Employee Entitlements của F_EMP, hiển thị hạn mức 15.00 Ngày cho loại phép F_TYPE.</t>
        </is>
      </c>
      <c r="E24" s="52" t="inlineStr">
        <is>
          <t>Không phụ thuộc TC khác; dùng fixture setup.</t>
        </is>
      </c>
      <c r="F24" s="50" t="inlineStr">
        <is>
          <t>Untested</t>
        </is>
      </c>
      <c r="G24" s="53" t="n"/>
      <c r="H24" s="52" t="inlineStr">
        <is>
          <t>TD_LEAVE_CONFIG_04
Positive; Phân vùng tương đương
Automation: P1</t>
        </is>
      </c>
    </row>
    <row r="25" ht="140" customHeight="1">
      <c r="A25" s="47" t="inlineStr">
        <is>
          <t>TC_LEAVE_CONFIG_017</t>
        </is>
      </c>
      <c r="B25" s="47" t="inlineStr">
        <is>
          <t>Thêm Leave Entitlement hợp lệ với số ngày thập phân (7.5 ngày)</t>
        </is>
      </c>
      <c r="C25" s="47" t="inlineStr">
        <is>
          <t>Tiền điều kiện: Admin đã đăng nhập. Nhân viên F_EMP và F_TYPE sẵn sàng.
Input: Employee=F_EMP; Leave Type=F_TYPE; Entitlement=7.50
1. Vào Add Entitlements.
2. Điền đầy đủ thông tin nhân viên và loại phép.
3. Nhập Entitlement=7.50. Bấm Save.
4. Mở xem chi tiết hạn mức của nhân viên.
Kết thúc: khôi phục fixture theo Test Data.</t>
        </is>
      </c>
      <c r="D25" s="47" t="inlineStr">
        <is>
          <t>Lưu thành công. Hạn mức được cộng thêm chính xác 7.50 Ngày vào hồ sơ của nhân viên F_EMP.</t>
        </is>
      </c>
      <c r="E25" s="47" t="inlineStr">
        <is>
          <t>Không phụ thuộc TC khác; dùng fixture setup.</t>
        </is>
      </c>
      <c r="F25" s="50" t="inlineStr">
        <is>
          <t>Untested</t>
        </is>
      </c>
      <c r="G25" s="51" t="n"/>
      <c r="H25" s="47" t="inlineStr">
        <is>
          <t>TD_LEAVE_CONFIG_04
Positive; Phân vùng tương đương
Automation: P1</t>
        </is>
      </c>
    </row>
    <row r="26" ht="140" customHeight="1">
      <c r="A26" s="52" t="inlineStr">
        <is>
          <t>TC_LEAVE_CONFIG_018</t>
        </is>
      </c>
      <c r="B26" s="52" t="inlineStr">
        <is>
          <t>Thêm Leave Entitlement nhưng bỏ trống Employee Name</t>
        </is>
      </c>
      <c r="C26" s="52" t="inlineStr">
        <is>
          <t>Tiền điều kiện: Admin đã đăng nhập.
Input: Employee Name rỗng; Leave Type=F_TYPE; Entitlement=10.00
1. Mở Add Entitlements.
2. Để trống ô Employee Name, chọn Leave Type và nhập số ngày.
3. Bấm Save.
Kết thúc: khôi phục fixture theo Test Data.</t>
        </is>
      </c>
      <c r="D26" s="52" t="inlineStr">
        <is>
          <t>Trường Employee Name hiển thị thông báo lỗi "Required". Không tạo entitlement.</t>
        </is>
      </c>
      <c r="E26" s="52" t="inlineStr">
        <is>
          <t>Không phụ thuộc TC khác; dùng fixture setup.</t>
        </is>
      </c>
      <c r="F26" s="50" t="inlineStr">
        <is>
          <t>Untested</t>
        </is>
      </c>
      <c r="G26" s="53" t="n"/>
      <c r="H26" s="52" t="inlineStr">
        <is>
          <t>TD_LEAVE_CONFIG_05
Negative; Phân vùng tương đương
Automation: P1</t>
        </is>
      </c>
    </row>
    <row r="27" ht="140" customHeight="1">
      <c r="A27" s="47" t="inlineStr">
        <is>
          <t>TC_LEAVE_CONFIG_019</t>
        </is>
      </c>
      <c r="B27" s="47" t="inlineStr">
        <is>
          <t>Nhập Employee Name không tồn tại khi thêm Entitlement</t>
        </is>
      </c>
      <c r="C27" s="47" t="inlineStr">
        <is>
          <t>Tiền điều kiện: Admin đã đăng nhập.
Input: Employee Name="NonExistentEmployee_G01X"
1. Mở Add Entitlements.
2. Gõ "NonExistentEmployee_G01X" vào ô Employee Name.
3. Quan sát dropdown gợi ý autocomplete.
Kết thúc: khôi phục fixture theo Test Data.</t>
        </is>
      </c>
      <c r="D27" s="47" t="inlineStr">
        <is>
          <t>Dropdown gợi ý hiển thị "No Records Found". Hệ thống không cho phép chọn tên tự do không có trong danh sách nhân viên.</t>
        </is>
      </c>
      <c r="E27" s="47" t="inlineStr">
        <is>
          <t>Không phụ thuộc TC khác; dùng fixture setup.</t>
        </is>
      </c>
      <c r="F27" s="50" t="inlineStr">
        <is>
          <t>Untested</t>
        </is>
      </c>
      <c r="G27" s="51" t="n"/>
      <c r="H27" s="47" t="inlineStr">
        <is>
          <t>TD_LEAVE_CONFIG_05
Negative; Phân vùng tương đương
Automation: P1</t>
        </is>
      </c>
    </row>
    <row r="28" ht="140" customHeight="1">
      <c r="A28" s="52" t="inlineStr">
        <is>
          <t>TC_LEAVE_CONFIG_020</t>
        </is>
      </c>
      <c r="B28" s="52" t="inlineStr">
        <is>
          <t>Thêm Leave Entitlement nhưng không chọn Leave Type</t>
        </is>
      </c>
      <c r="C28" s="52" t="inlineStr">
        <is>
          <t>Tiền điều kiện: Admin đã đăng nhập. F_EMP sẵn sàng.
Input: Employee=F_EMP; Leave Type trống (-- Select --); Entitlement=10.00
1. Mở Add Entitlements.
2. Chọn F_EMP, giữ Leave Type ở trạng thái chưa chọn.
3. Nhập Entitlement=10.00, bấm Save.
Kết thúc: khôi phục fixture theo Test Data.</t>
        </is>
      </c>
      <c r="D28" s="52" t="inlineStr">
        <is>
          <t>Trường Leave Type hiển thị lỗi "Required". Không thực hiện lưu.</t>
        </is>
      </c>
      <c r="E28" s="52" t="inlineStr">
        <is>
          <t>Không phụ thuộc TC khác; dùng fixture setup.</t>
        </is>
      </c>
      <c r="F28" s="50" t="inlineStr">
        <is>
          <t>Untested</t>
        </is>
      </c>
      <c r="G28" s="53" t="n"/>
      <c r="H28" s="52" t="inlineStr">
        <is>
          <t>TD_LEAVE_CONFIG_05
Negative; Phân vùng tương đương
Automation: P1</t>
        </is>
      </c>
    </row>
    <row r="29" ht="140" customHeight="1">
      <c r="A29" s="47" t="inlineStr">
        <is>
          <t>TC_LEAVE_CONFIG_021</t>
        </is>
      </c>
      <c r="B29" s="47" t="inlineStr">
        <is>
          <t>Thêm Leave Entitlement nhưng để trống trường Entitlement</t>
        </is>
      </c>
      <c r="C29" s="47" t="inlineStr">
        <is>
          <t>Tiền điều kiện: Admin đã đăng nhập. F_EMP và F_TYPE sẵn sàng.
Input: Employee=F_EMP; Leave Type=F_TYPE; Entitlement rỗng
1. Mở Add Entitlements, chọn F_EMP và F_TYPE.
2. Để trống ô Entitlement.
3. Bấm Save.
Kết thúc: khôi phục fixture theo Test Data.</t>
        </is>
      </c>
      <c r="D29" s="47" t="inlineStr">
        <is>
          <t>Trường Entitlement hiển thị thông báo lỗi "Required". Không tạo entitlement.</t>
        </is>
      </c>
      <c r="E29" s="47" t="inlineStr">
        <is>
          <t>Không phụ thuộc TC khác; dùng fixture setup.</t>
        </is>
      </c>
      <c r="F29" s="50" t="inlineStr">
        <is>
          <t>Untested</t>
        </is>
      </c>
      <c r="G29" s="51" t="n"/>
      <c r="H29" s="47" t="inlineStr">
        <is>
          <t>TD_LEAVE_CONFIG_05
Negative; Phân vùng tương đương
Automation: P1</t>
        </is>
      </c>
    </row>
    <row r="30" ht="140" customHeight="1">
      <c r="A30" s="52" t="inlineStr">
        <is>
          <t>TC_LEAVE_CONFIG_022</t>
        </is>
      </c>
      <c r="B30" s="52" t="inlineStr">
        <is>
          <t>Nhập giá trị Entitlement bằng chữ hoặc ký tự không phải số</t>
        </is>
      </c>
      <c r="C30" s="52" t="inlineStr">
        <is>
          <t>Tiền điều kiện: Admin đã đăng nhập.
Input: Employee=F_EMP; Leave Type=F_TYPE; Entitlement="abc@#$"
1. Mở Add Entitlements.
2. Nhập chuỗi ký tự chữ và ký tự đặc biệt vào ô Entitlement.
3. Bấm Save hoặc rời trường.
Kết thúc: khôi phục fixture theo Test Data.</t>
        </is>
      </c>
      <c r="D30" s="52" t="inlineStr">
        <is>
          <t>Hiển thị lỗi định dạng số "Should be a number" hoặc "Expected a number". Hệ thống từ chối lưu giá trị phi số.</t>
        </is>
      </c>
      <c r="E30" s="52" t="inlineStr">
        <is>
          <t>Không phụ thuộc TC khác; dùng fixture setup.</t>
        </is>
      </c>
      <c r="F30" s="50" t="inlineStr">
        <is>
          <t>Untested</t>
        </is>
      </c>
      <c r="G30" s="53" t="n"/>
      <c r="H30" s="52" t="inlineStr">
        <is>
          <t>TD_LEAVE_CONFIG_05
Negative; Phân vùng tương đương
Automation: P1</t>
        </is>
      </c>
    </row>
    <row r="31" ht="140" customHeight="1">
      <c r="A31" s="47" t="inlineStr">
        <is>
          <t>TC_LEAVE_CONFIG_023</t>
        </is>
      </c>
      <c r="B31" s="47" t="inlineStr">
        <is>
          <t>Nhập giá trị Entitlement là số âm</t>
        </is>
      </c>
      <c r="C31" s="47" t="inlineStr">
        <is>
          <t>Tiền điều kiện: Admin đã đăng nhập.
Input: Employee=F_EMP; Leave Type=F_TYPE; Entitlement="-5.00"
1. Mở Add Entitlements.
2. Nhập số âm -5.00 vào ô Entitlement.
3. Bấm Save.
Kết thúc: khôi phục fixture theo Test Data.</t>
        </is>
      </c>
      <c r="D31" s="47" t="inlineStr">
        <is>
          <t>Hiển thị thông báo lỗi không cho phép số âm ("Should be greater than 0" hoặc "Invalid number"). Không lưu hạn mức âm.</t>
        </is>
      </c>
      <c r="E31" s="47" t="inlineStr">
        <is>
          <t>Không phụ thuộc TC khác; dùng fixture setup.</t>
        </is>
      </c>
      <c r="F31" s="50" t="inlineStr">
        <is>
          <t>Untested</t>
        </is>
      </c>
      <c r="G31" s="51" t="n"/>
      <c r="H31" s="47" t="inlineStr">
        <is>
          <t>TD_LEAVE_CONFIG_05
Negative; Phân tích giá trị biên
Automation: P1</t>
        </is>
      </c>
    </row>
    <row r="32" ht="140" customHeight="1">
      <c r="A32" s="52" t="inlineStr">
        <is>
          <t>TC_LEAVE_CONFIG_024</t>
        </is>
      </c>
      <c r="B32" s="52" t="inlineStr">
        <is>
          <t>Nhập giá trị Entitlement có nhiều hơn 2 chữ số thập phân</t>
        </is>
      </c>
      <c r="C32" s="52" t="inlineStr">
        <is>
          <t>Tiền điều kiện: Admin đã đăng nhập.
Input: Employee=F_EMP; Leave Type=F_TYPE; Entitlement="10.555"
1. Mở Add Entitlements.
2. Nhập số có 3 chữ số thập phân 10.555 vào Entitlement.
3. Bấm Save.
Kết thúc: khôi phục fixture theo Test Data.</t>
        </is>
      </c>
      <c r="D32" s="52" t="inlineStr">
        <is>
          <t>Báo lỗi định dạng số thập phân tối đa 2 chữ số ("Should be a valid decimal" hoặc tự động làm tròn/chặn nhập). Không lưu số có 3 chữ số thập phân không hợp lệ.</t>
        </is>
      </c>
      <c r="E32" s="52" t="inlineStr">
        <is>
          <t>Không phụ thuộc TC khác; dùng fixture setup.</t>
        </is>
      </c>
      <c r="F32" s="50" t="inlineStr">
        <is>
          <t>Untested</t>
        </is>
      </c>
      <c r="G32" s="53" t="n"/>
      <c r="H32" s="52" t="inlineStr">
        <is>
          <t>TD_LEAVE_CONFIG_05
Negative; Phân tích giá trị biên
Automation: P1</t>
        </is>
      </c>
    </row>
    <row r="33" ht="142" customHeight="1">
      <c r="A33" s="47" t="inlineStr">
        <is>
          <t>TC_LEAVE_CONFIG_025</t>
        </is>
      </c>
      <c r="B33" s="47" t="inlineStr">
        <is>
          <t>Hủy thao tác thêm Leave Entitlement khi đang nhập liệu</t>
        </is>
      </c>
      <c r="C33" s="47" t="inlineStr">
        <is>
          <t>Tiền điều kiện: Admin đã đăng nhập.
Input: Employee=F_EMP; Leave Type=F_TYPE; Entitlement=20.00
1. Mở Add Entitlements, nhập các thông tin.
2. Bấm nút Cancel thay vì Save.
3. Mở xem danh sách hạn mức của F_EMP.
Kết thúc: khôi phục fixture theo Test Data.</t>
        </is>
      </c>
      <c r="D33" s="47" t="inlineStr">
        <is>
          <t>Hủy thao tác và quay về trang trước đó. Không có hạn mức 20.00 ngày nào được thêm cho F_EMP.</t>
        </is>
      </c>
      <c r="E33" s="47" t="inlineStr">
        <is>
          <t>Không phụ thuộc TC khác; dùng fixture setup.</t>
        </is>
      </c>
      <c r="F33" s="50" t="inlineStr">
        <is>
          <t>Untested</t>
        </is>
      </c>
      <c r="G33" s="51" t="n"/>
      <c r="H33" s="47" t="inlineStr">
        <is>
          <t>TD_LEAVE_CONFIG_04
Positive; Phân vùng tương đương
Automation: P1</t>
        </is>
      </c>
    </row>
  </sheetData>
  <mergeCells count="5">
    <mergeCell ref="F6:H6"/>
    <mergeCell ref="F5:H5"/>
    <mergeCell ref="B4:H4"/>
    <mergeCell ref="B2:H2"/>
    <mergeCell ref="B3:H3"/>
  </mergeCells>
  <conditionalFormatting sqref="F9:F33">
    <cfRule type="containsText" priority="1" operator="containsText" dxfId="0" text="Passed"/>
    <cfRule type="containsText" priority="2" operator="containsText" dxfId="1" text="Failed"/>
    <cfRule type="containsText" priority="3" operator="containsText" dxfId="2" text="Blocked"/>
    <cfRule type="containsText" priority="4" operator="containsText" dxfId="3" text="Skipped"/>
  </conditionalFormatting>
  <dataValidations count="1">
    <dataValidation sqref="F9:F33" showDropDown="0" showInputMessage="0" showErrorMessage="0" allowBlank="0" type="list">
      <formula1>"Passed,Failed,Untested,Blocked,Skipped"</formula1>
    </dataValidation>
  </dataValidations>
  <pageMargins left="0.7" right="0.7" top="0.75" bottom="0.75" header="0.3" footer="0.3"/>
</worksheet>
</file>

<file path=xl/worksheets/sheet5.xml><?xml version="1.0" encoding="utf-8"?>
<worksheet xmlns="http://schemas.openxmlformats.org/spreadsheetml/2006/main">
  <sheetPr>
    <tabColor rgb="FF1F4E78"/>
    <outlinePr summaryBelow="1" summaryRight="1"/>
    <pageSetUpPr/>
  </sheetPr>
  <dimension ref="A1:H33"/>
  <sheetViews>
    <sheetView showGridLines="1" workbookViewId="0">
      <pane xSplit="1" ySplit="8" topLeftCell="B9" activePane="bottomRight" state="frozen"/>
      <selection activeCell="A1" sqref="A1"/>
    </sheetView>
  </sheetViews>
  <sheetFormatPr baseColWidth="8" defaultRowHeight="15"/>
  <cols>
    <col width="25" customWidth="1" min="1" max="1"/>
    <col width="36" customWidth="1" min="2" max="2"/>
    <col width="72" customWidth="1" min="3" max="3"/>
    <col width="65" customWidth="1" min="4" max="4"/>
    <col width="24" customWidth="1" min="5" max="5"/>
    <col width="14" customWidth="1" min="6" max="6"/>
    <col width="15" customWidth="1" min="7" max="7"/>
    <col width="40" customWidth="1" min="8" max="8"/>
  </cols>
  <sheetData>
    <row r="1">
      <c r="A1" s="3" t="n"/>
      <c r="B1" s="3" t="n"/>
      <c r="C1" s="3" t="n"/>
      <c r="D1" s="3" t="n"/>
      <c r="E1" s="3" t="n"/>
      <c r="F1" s="3" t="n"/>
      <c r="G1" s="3" t="n"/>
      <c r="H1" s="3" t="n"/>
    </row>
    <row r="2">
      <c r="A2" s="7" t="inlineStr">
        <is>
          <t>Module Code</t>
        </is>
      </c>
      <c r="B2" s="3" t="inlineStr">
        <is>
          <t>LEAVE_SELF</t>
        </is>
      </c>
    </row>
    <row r="3">
      <c r="A3" s="7" t="inlineStr">
        <is>
          <t>Test requirement</t>
        </is>
      </c>
      <c r="B3" s="3" t="inlineStr">
        <is>
          <t>Apply Leave và My Leave</t>
        </is>
      </c>
    </row>
    <row r="4">
      <c r="A4" s="7" t="inlineStr">
        <is>
          <t>Tester</t>
        </is>
      </c>
      <c r="B4" s="3" t="inlineStr">
        <is>
          <t>Cao Tiến Thành - 22130254</t>
        </is>
      </c>
    </row>
    <row r="5" ht="24" customHeight="1">
      <c r="A5" s="48" t="inlineStr">
        <is>
          <t>Passed</t>
        </is>
      </c>
      <c r="B5" s="48" t="inlineStr">
        <is>
          <t>Failed</t>
        </is>
      </c>
      <c r="C5" s="48" t="inlineStr">
        <is>
          <t>Untested</t>
        </is>
      </c>
      <c r="D5" s="48" t="inlineStr">
        <is>
          <t>Blocked</t>
        </is>
      </c>
      <c r="E5" s="48" t="inlineStr">
        <is>
          <t>Skipped</t>
        </is>
      </c>
      <c r="F5" s="48" t="inlineStr">
        <is>
          <t>Number of Test cases</t>
        </is>
      </c>
      <c r="G5" s="24" t="n"/>
      <c r="H5" s="25" t="n"/>
    </row>
    <row r="6" ht="24" customHeight="1">
      <c r="A6" s="49">
        <f>COUNTIF($F$9:$F$33,"Passed")</f>
        <v/>
      </c>
      <c r="B6" s="49">
        <f>COUNTIF($F$9:$F$33,"Failed")</f>
        <v/>
      </c>
      <c r="C6" s="49">
        <f>COUNTIF($F$9:$F$33,"Untested")</f>
        <v/>
      </c>
      <c r="D6" s="49">
        <f>COUNTIF($F$9:$F$33,"Blocked")</f>
        <v/>
      </c>
      <c r="E6" s="49">
        <f>COUNTIF($F$9:$F$33,"Skipped")</f>
        <v/>
      </c>
      <c r="F6" s="49">
        <f>COUNTA(A9:A33)</f>
        <v/>
      </c>
      <c r="G6" s="24" t="n"/>
      <c r="H6" s="25" t="n"/>
    </row>
    <row r="7">
      <c r="A7" s="3" t="n"/>
      <c r="B7" s="3" t="n"/>
      <c r="C7" s="3" t="n"/>
      <c r="D7" s="3" t="n"/>
      <c r="E7" s="3" t="n"/>
      <c r="F7" s="3" t="n"/>
      <c r="G7" s="3" t="n"/>
      <c r="H7" s="3" t="n"/>
    </row>
    <row r="8" ht="34" customHeight="1">
      <c r="A8" s="46" t="inlineStr">
        <is>
          <t>ID</t>
        </is>
      </c>
      <c r="B8" s="46" t="inlineStr">
        <is>
          <t>Test Case Description</t>
        </is>
      </c>
      <c r="C8" s="46" t="inlineStr">
        <is>
          <t>Test Case Procedure</t>
        </is>
      </c>
      <c r="D8" s="46" t="inlineStr">
        <is>
          <t>Expected Output</t>
        </is>
      </c>
      <c r="E8" s="46" t="inlineStr">
        <is>
          <t>Inter-test case Dependence</t>
        </is>
      </c>
      <c r="F8" s="46" t="inlineStr">
        <is>
          <t>Result</t>
        </is>
      </c>
      <c r="G8" s="46" t="inlineStr">
        <is>
          <t>Test date</t>
        </is>
      </c>
      <c r="H8" s="46" t="inlineStr">
        <is>
          <t>Note</t>
        </is>
      </c>
    </row>
    <row r="9" ht="140" customHeight="1">
      <c r="A9" s="47" t="inlineStr">
        <is>
          <t>TC_LEAVE_SELF_001</t>
        </is>
      </c>
      <c r="B9" s="47" t="inlineStr">
        <is>
          <t>Nộp đơn xin nghỉ phép 1 ngày hợp lệ khi đủ hạn mức</t>
        </is>
      </c>
      <c r="C9" s="47" t="inlineStr">
        <is>
          <t>Tiền điều kiện: Admin/User đăng nhập. Nhân viên có đủ Leave Balance (&gt;1 ngày) tại loại phép F_TYPE.
Input: Leave Type=F_TYPE; From Date=2026-11-10; To Date=2026-11-10 (1 ngày); Comments="G01T01 One day leave"
1. Vào Leave &gt; Apply.
2. Chọn Leave Type F_TYPE, quan sát Leave Balance hiển thị.
3. Nhập From Date và To Date cùng ngày 2026-11-10.
4. Nhập Comments và bấm Apply.
5. Vào My Leave kiểm tra đơn vừa nộp.
Kết thúc: khôi phục fixture theo Test Data.</t>
        </is>
      </c>
      <c r="D9" s="47" t="inlineStr">
        <is>
          <t>Thông báo "Successfully Submitted". Trong My Leave xuất hiện dòng đơn ngày 2026-11-10 với Status="Pending Approval", Number of Days=1.00.</t>
        </is>
      </c>
      <c r="E9" s="47" t="inlineStr">
        <is>
          <t>Không phụ thuộc TC khác; dùng fixture setup.</t>
        </is>
      </c>
      <c r="F9" s="50" t="inlineStr">
        <is>
          <t>Untested</t>
        </is>
      </c>
      <c r="G9" s="51" t="n"/>
      <c r="H9" s="47" t="inlineStr">
        <is>
          <t>TD_LEAVE_SELF_01
Positive; Phân vùng tương đương
Automation: P1</t>
        </is>
      </c>
    </row>
    <row r="10" ht="140" customHeight="1">
      <c r="A10" s="52" t="inlineStr">
        <is>
          <t>TC_LEAVE_SELF_002</t>
        </is>
      </c>
      <c r="B10" s="52" t="inlineStr">
        <is>
          <t>Nộp đơn xin nghỉ phép nhiều ngày liên tiếp hợp lệ</t>
        </is>
      </c>
      <c r="C10" s="52" t="inlineStr">
        <is>
          <t>Tiền điều kiện: User có Leave Balance &gt;= 3 ngày tại F_TYPE.
Input: Leave Type=F_TYPE; From Date=2026-11-16; To Date=2026-11-18 (3 ngày làm việc); Comments="G01T01 3 days leave"
1. Vào Leave &gt; Apply.
2. Chọn F_TYPE, nhập From Date=2026-11-16, To Date=2026-11-18.
3. Bấm Apply.
4. Đối chiếu trong My Leave.
Kết thúc: khôi phục fixture theo Test Data.</t>
        </is>
      </c>
      <c r="D10" s="52" t="inlineStr">
        <is>
          <t>Nộp đơn thành công. Đơn hiển thị trong My Leave với khoảng ngày 2026-11-16 to 2026-11-18, Number of Days=3.00, Status="Pending Approval".</t>
        </is>
      </c>
      <c r="E10" s="52" t="inlineStr">
        <is>
          <t>Không phụ thuộc TC khác; dùng fixture setup.</t>
        </is>
      </c>
      <c r="F10" s="50" t="inlineStr">
        <is>
          <t>Untested</t>
        </is>
      </c>
      <c r="G10" s="53" t="n"/>
      <c r="H10" s="52" t="inlineStr">
        <is>
          <t>TD_LEAVE_SELF_01
Positive; Phân vùng tương đương
Automation: P1</t>
        </is>
      </c>
    </row>
    <row r="11" ht="140" customHeight="1">
      <c r="A11" s="47" t="inlineStr">
        <is>
          <t>TC_LEAVE_SELF_003</t>
        </is>
      </c>
      <c r="B11" s="47" t="inlineStr">
        <is>
          <t>Nộp đơn xin nghỉ phép có kèm nội dung ghi chú Comments</t>
        </is>
      </c>
      <c r="C11" s="47" t="inlineStr">
        <is>
          <t>Tiền điều kiện: User có đủ hạn mức phép.
Input: Leave Type=F_TYPE; From=2026-11-23; To=2026-11-23; Comments="Xin nghỉ giải quyết việc gia đình cá nhân G01T01"
1. Vào Apply Leave, điền ngày hợp lệ.
2. Nhập nội dung vào ô Comments.
3. Bấm Apply. Mở xem chi tiết đơn tại My Leave.
Kết thúc: khôi phục fixture theo Test Data.</t>
        </is>
      </c>
      <c r="D11" s="47" t="inlineStr">
        <is>
          <t>Đơn được gửi thành công. Khi xem chi tiết đơn trong My Leave, ô Comments hiển thị chính xác chuỗi đã nhập.</t>
        </is>
      </c>
      <c r="E11" s="47" t="inlineStr">
        <is>
          <t>Không phụ thuộc TC khác; dùng fixture setup.</t>
        </is>
      </c>
      <c r="F11" s="50" t="inlineStr">
        <is>
          <t>Untested</t>
        </is>
      </c>
      <c r="G11" s="51" t="n"/>
      <c r="H11" s="47" t="inlineStr">
        <is>
          <t>TD_LEAVE_SELF_01
Positive; Phân vùng tương đương
Automation: P1</t>
        </is>
      </c>
    </row>
    <row r="12" ht="140" customHeight="1">
      <c r="A12" s="52" t="inlineStr">
        <is>
          <t>TC_LEAVE_SELF_004</t>
        </is>
      </c>
      <c r="B12" s="52" t="inlineStr">
        <is>
          <t>Không chọn Leave Type khi nộp đơn</t>
        </is>
      </c>
      <c r="C12" s="52" t="inlineStr">
        <is>
          <t>Tiền điều kiện: Đang ở trang Apply Leave.
Input: Leave Type trống (-- Select --); From Date=2026-11-10; To Date=2026-11-10
1. Vào Leave &gt; Apply.
2. Giữ nguyên ô Leave Type không chọn, nhập From Date và To Date.
3. Bấm Apply.
Kết thúc: khôi phục fixture theo Test Data.</t>
        </is>
      </c>
      <c r="D12" s="52" t="inlineStr">
        <is>
          <t>Trường Leave Type hiển thị lỗi "Required". Đơn không được gửi đi.</t>
        </is>
      </c>
      <c r="E12" s="52" t="inlineStr">
        <is>
          <t>Không phụ thuộc TC khác; dùng fixture setup.</t>
        </is>
      </c>
      <c r="F12" s="50" t="inlineStr">
        <is>
          <t>Untested</t>
        </is>
      </c>
      <c r="G12" s="53" t="n"/>
      <c r="H12" s="52" t="inlineStr">
        <is>
          <t>TD_LEAVE_SELF_02
Negative; Phân vùng tương đương
Automation: P1</t>
        </is>
      </c>
    </row>
    <row r="13" ht="140" customHeight="1">
      <c r="A13" s="47" t="inlineStr">
        <is>
          <t>TC_LEAVE_SELF_005</t>
        </is>
      </c>
      <c r="B13" s="47" t="inlineStr">
        <is>
          <t>Bỏ trống trường From Date khi nộp đơn</t>
        </is>
      </c>
      <c r="C13" s="47" t="inlineStr">
        <is>
          <t>Tiền điều kiện: Đang ở trang Apply Leave.
Input: Leave Type=F_TYPE; From Date rỗng; To Date=2026-11-10
1. Mở Apply Leave, chọn Leave Type F_TYPE.
2. Để trống ô From Date, chỉ nhập To Date.
3. Bấm Apply.
Kết thúc: khôi phục fixture theo Test Data.</t>
        </is>
      </c>
      <c r="D13" s="47" t="inlineStr">
        <is>
          <t>Trường From Date hiển thị thông báo lỗi "Required". Không thể nộp đơn.</t>
        </is>
      </c>
      <c r="E13" s="47" t="inlineStr">
        <is>
          <t>Không phụ thuộc TC khác; dùng fixture setup.</t>
        </is>
      </c>
      <c r="F13" s="50" t="inlineStr">
        <is>
          <t>Untested</t>
        </is>
      </c>
      <c r="G13" s="51" t="n"/>
      <c r="H13" s="47" t="inlineStr">
        <is>
          <t>TD_LEAVE_SELF_02
Negative; Phân vùng tương đương
Automation: P1</t>
        </is>
      </c>
    </row>
    <row r="14" ht="140" customHeight="1">
      <c r="A14" s="52" t="inlineStr">
        <is>
          <t>TC_LEAVE_SELF_006</t>
        </is>
      </c>
      <c r="B14" s="52" t="inlineStr">
        <is>
          <t>Bỏ trống trường To Date khi nộp đơn</t>
        </is>
      </c>
      <c r="C14" s="52" t="inlineStr">
        <is>
          <t>Tiền điều kiện: Đang ở trang Apply Leave.
Input: Leave Type=F_TYPE; From Date=2026-11-10; To Date rỗng
1. Mở Apply Leave, chọn Leave Type F_TYPE.
2. Nhập From Date, xóa trống ô To Date.
3. Bấm Apply.
Kết thúc: khôi phục fixture theo Test Data.</t>
        </is>
      </c>
      <c r="D14" s="52" t="inlineStr">
        <is>
          <t>Trường To Date hiển thị thông báo lỗi "Required". Không thể nộp đơn.</t>
        </is>
      </c>
      <c r="E14" s="52" t="inlineStr">
        <is>
          <t>Không phụ thuộc TC khác; dùng fixture setup.</t>
        </is>
      </c>
      <c r="F14" s="50" t="inlineStr">
        <is>
          <t>Untested</t>
        </is>
      </c>
      <c r="G14" s="53" t="n"/>
      <c r="H14" s="52" t="inlineStr">
        <is>
          <t>TD_LEAVE_SELF_02
Negative; Phân vùng tương đương
Automation: P1</t>
        </is>
      </c>
    </row>
    <row r="15" ht="140" customHeight="1">
      <c r="A15" s="47" t="inlineStr">
        <is>
          <t>TC_LEAVE_SELF_007</t>
        </is>
      </c>
      <c r="B15" s="47" t="inlineStr">
        <is>
          <t>Chọn To Date trước From Date khi nộp đơn</t>
        </is>
      </c>
      <c r="C15" s="47" t="inlineStr">
        <is>
          <t>Tiền điều kiện: Đang ở trang Apply Leave.
Input: Leave Type=F_TYPE; From Date=2026-11-20; To Date=2026-11-15 (To &lt; From)
1. Chọn F_TYPE.
2. Nhập From Date=2026-11-20.
3. Nhập To Date=2026-11-15.
4. Bấm Apply hoặc quan sát validation.
Kết thúc: khôi phục fixture theo Test Data.</t>
        </is>
      </c>
      <c r="D15" s="47" t="inlineStr">
        <is>
          <t>Trường To Date báo lỗi "To date should be after from date". Nút Apply không gửi dữ liệu.</t>
        </is>
      </c>
      <c r="E15" s="47" t="inlineStr">
        <is>
          <t>Không phụ thuộc TC khác; dùng fixture setup.</t>
        </is>
      </c>
      <c r="F15" s="50" t="inlineStr">
        <is>
          <t>Untested</t>
        </is>
      </c>
      <c r="G15" s="51" t="n"/>
      <c r="H15" s="47" t="inlineStr">
        <is>
          <t>TD_LEAVE_SELF_03
Negative; Bảng quyết định
Automation: P1</t>
        </is>
      </c>
    </row>
    <row r="16" ht="140" customHeight="1">
      <c r="A16" s="52" t="inlineStr">
        <is>
          <t>TC_LEAVE_SELF_008</t>
        </is>
      </c>
      <c r="B16" s="52" t="inlineStr">
        <is>
          <t>Chọn To Date bằng From Date (nghỉ đúng 1 ngày)</t>
        </is>
      </c>
      <c r="C16" s="52" t="inlineStr">
        <is>
          <t>Tiền điều kiện: Đang ở trang Apply Leave.
Input: Leave Type=F_TYPE; From Date=2026-11-25; To Date=2026-11-25
1. Nhập From Date=2026-11-25.
2. Nhập To Date=2026-11-25.
3. Quan sát trường Duration/Partial Days và nộp đơn.
Kết thúc: khôi phục fixture theo Test Data.</t>
        </is>
      </c>
      <c r="D16" s="52" t="inlineStr">
        <is>
          <t>Hệ thống chấp nhận hai ngày bằng nhau, Duration hiển thị 1.0 Day. Đơn được nộp thành công.</t>
        </is>
      </c>
      <c r="E16" s="52" t="inlineStr">
        <is>
          <t>Không phụ thuộc TC khác; dùng fixture setup.</t>
        </is>
      </c>
      <c r="F16" s="50" t="inlineStr">
        <is>
          <t>Untested</t>
        </is>
      </c>
      <c r="G16" s="53" t="n"/>
      <c r="H16" s="52" t="inlineStr">
        <is>
          <t>TD_LEAVE_SELF_01
Positive; Phân tích giá trị biên
Automation: P1</t>
        </is>
      </c>
    </row>
    <row r="17" ht="140" customHeight="1">
      <c r="A17" s="47" t="inlineStr">
        <is>
          <t>TC_LEAVE_SELF_009</t>
        </is>
      </c>
      <c r="B17" s="47" t="inlineStr">
        <is>
          <t>Nhập From Date là ngày không tồn tại trên lịch</t>
        </is>
      </c>
      <c r="C17" s="47" t="inlineStr">
        <is>
          <t>Tiền điều kiện: Đang ở trang Apply Leave.
Input: From Date=2026-02-30 (ngày 30/02 không tồn tại); To Date=2026-03-02
1. Nhập From Date=2026-02-30 vào ô ngày.
2. Nhập To Date hợp lệ.
3. Bấm Apply.
Kết thúc: khôi phục fixture theo Test Data.</t>
        </is>
      </c>
      <c r="D17" s="47" t="inlineStr">
        <is>
          <t>Báo lỗi định dạng ngày không hợp lệ ("Should be a valid date" hoặc "Invalid Date"). Đơn không được chấp nhận.</t>
        </is>
      </c>
      <c r="E17" s="47" t="inlineStr">
        <is>
          <t>Không phụ thuộc TC khác; dùng fixture setup.</t>
        </is>
      </c>
      <c r="F17" s="50" t="inlineStr">
        <is>
          <t>Untested</t>
        </is>
      </c>
      <c r="G17" s="51" t="n"/>
      <c r="H17" s="47" t="inlineStr">
        <is>
          <t>TD_LEAVE_SELF_02
Negative; Phân vùng tương đương
Automation: P1</t>
        </is>
      </c>
    </row>
    <row r="18" ht="140" customHeight="1">
      <c r="A18" s="52" t="inlineStr">
        <is>
          <t>TC_LEAVE_SELF_010</t>
        </is>
      </c>
      <c r="B18" s="52" t="inlineStr">
        <is>
          <t>Nhập To Date là ngày không tồn tại trên lịch</t>
        </is>
      </c>
      <c r="C18" s="52" t="inlineStr">
        <is>
          <t>Tiền điều kiện: Đang ở trang Apply Leave.
Input: From Date=2026-04-28; To Date=2026-04-31 (tháng 4 chỉ có 30 ngày)
1. Nhập From Date hợp lệ.
2. Nhập To Date=2026-04-31.
3. Bấm Apply.
Kết thúc: khôi phục fixture theo Test Data.</t>
        </is>
      </c>
      <c r="D18" s="52" t="inlineStr">
        <is>
          <t>Báo lỗi định dạng ngày không hợp lệ tại ô To Date. Đơn không được chấp nhận.</t>
        </is>
      </c>
      <c r="E18" s="52" t="inlineStr">
        <is>
          <t>Không phụ thuộc TC khác; dùng fixture setup.</t>
        </is>
      </c>
      <c r="F18" s="50" t="inlineStr">
        <is>
          <t>Untested</t>
        </is>
      </c>
      <c r="G18" s="53" t="n"/>
      <c r="H18" s="52" t="inlineStr">
        <is>
          <t>TD_LEAVE_SELF_02
Negative; Phân vùng tương đương
Automation: P1</t>
        </is>
      </c>
    </row>
    <row r="19" ht="140" customHeight="1">
      <c r="A19" s="47" t="inlineStr">
        <is>
          <t>TC_LEAVE_SELF_011</t>
        </is>
      </c>
      <c r="B19" s="47" t="inlineStr">
        <is>
          <t>Nộp đơn khi Leave Balance của loại phép bằng 0.00</t>
        </is>
      </c>
      <c r="C19" s="47" t="inlineStr">
        <is>
          <t>Tiền điều kiện: Nhân viên không có hạn mức phép (Leave Balance = 0.00 Day(s)) tại loại phép thử nghiệm F_NO_BAL.
Input: Leave Type=F_NO_BAL; From=2026-11-10; To=2026-11-10
1. Mở Apply Leave, chọn loại phép F_NO_BAL có Balance = 0.00.
2. Nhập ngày nghỉ, quan sát cảnh báo Balance.
3. Bấm Apply.
Kết thúc: khôi phục fixture theo Test Data.</t>
        </is>
      </c>
      <c r="D19" s="47" t="inlineStr">
        <is>
          <t>Hiển thị cảnh báo số dư không đủ ("Balance not sufficient") hoặc từ chối nộp đơn tùy thuộc vào cấu hình không cho phép âm phép.</t>
        </is>
      </c>
      <c r="E19" s="47" t="inlineStr">
        <is>
          <t>Không phụ thuộc TC khác; dùng fixture setup.</t>
        </is>
      </c>
      <c r="F19" s="50" t="inlineStr">
        <is>
          <t>Untested</t>
        </is>
      </c>
      <c r="G19" s="51" t="n"/>
      <c r="H19" s="47" t="inlineStr">
        <is>
          <t>TD_LEAVE_SELF_03
Negative; Phân vùng tương đương
Automation: P1</t>
        </is>
      </c>
    </row>
    <row r="20" ht="140" customHeight="1">
      <c r="A20" s="52" t="inlineStr">
        <is>
          <t>TC_LEAVE_SELF_012</t>
        </is>
      </c>
      <c r="B20" s="52" t="inlineStr">
        <is>
          <t>Nộp đơn xin nghỉ trùng hoàn toàn khoảng ngày với đơn đã có</t>
        </is>
      </c>
      <c r="C20" s="52" t="inlineStr">
        <is>
          <t>Tiền điều kiện: Đã có đơn xin nghỉ phép ngày 2026-11-10 (TC_LEAVE_SELF_001) ở trạng thái Pending hoặc Scheduled.
Input: Leave Type=F_TYPE; From=2026-11-10; To=2026-11-10
1. Vào Apply Leave.
2. Nhập trùng ngày 2026-11-10 với đơn đã có.
3. Bấm Apply.
Kết thúc: khôi phục fixture theo Test Data.</t>
        </is>
      </c>
      <c r="D20" s="52" t="inlineStr">
        <is>
          <t>Hiển thị thông báo lỗi "Failed to Submit: Overlapping Leave Request". Đơn trùng lặp bị ngăn chặn hoàn toàn.</t>
        </is>
      </c>
      <c r="E20" s="52" t="inlineStr">
        <is>
          <t>Không phụ thuộc TC khác; dùng fixture setup.</t>
        </is>
      </c>
      <c r="F20" s="50" t="inlineStr">
        <is>
          <t>Untested</t>
        </is>
      </c>
      <c r="G20" s="53" t="n"/>
      <c r="H20" s="52" t="inlineStr">
        <is>
          <t>TD_LEAVE_SELF_03
Negative; Bảng quyết định
Automation: P1</t>
        </is>
      </c>
    </row>
    <row r="21" ht="140" customHeight="1">
      <c r="A21" s="47" t="inlineStr">
        <is>
          <t>TC_LEAVE_SELF_013</t>
        </is>
      </c>
      <c r="B21" s="47" t="inlineStr">
        <is>
          <t>Nộp đơn xin nghỉ trùng một phần khoảng ngày (giao thoa 1 ngày)</t>
        </is>
      </c>
      <c r="C21" s="47" t="inlineStr">
        <is>
          <t>Tiền điều kiện: Đã có đơn từ 2026-11-16 đến 2026-11-18.
Input: From=2026-11-18; To=2026-11-20 (trùng ngày 18/11)
1. Mở Apply Leave.
2. Nhập khoảng ngày giao thoa với đơn cũ.
3. Bấm Apply.
Kết thúc: khôi phục fixture theo Test Data.</t>
        </is>
      </c>
      <c r="D21" s="47" t="inlineStr">
        <is>
          <t>Hiển thị thông báo lỗi "Failed to Submit: Overlapping Leave Request". Không cho phép tạo đơn giao thoa ngày nghỉ đã đăng ký.</t>
        </is>
      </c>
      <c r="E21" s="47" t="inlineStr">
        <is>
          <t>Không phụ thuộc TC khác; dùng fixture setup.</t>
        </is>
      </c>
      <c r="F21" s="50" t="inlineStr">
        <is>
          <t>Untested</t>
        </is>
      </c>
      <c r="G21" s="51" t="n"/>
      <c r="H21" s="47" t="inlineStr">
        <is>
          <t>TD_LEAVE_SELF_03
Negative; Bảng quyết định
Automation: P1</t>
        </is>
      </c>
    </row>
    <row r="22" ht="140" customHeight="1">
      <c r="A22" s="52" t="inlineStr">
        <is>
          <t>TC_LEAVE_SELF_014</t>
        </is>
      </c>
      <c r="B22" s="52" t="inlineStr">
        <is>
          <t>Nhập nội dung Comments đúng biên tối đa 250 ký tự</t>
        </is>
      </c>
      <c r="C22" s="52" t="inlineStr">
        <is>
          <t>Tiền điều kiện: Đang ở trang Apply Leave.
Input: Comments=chuỗi đúng 250 ký tự; ngày hợp lệ chưa trùng
1. Nhập thông tin ngày hợp lệ.
2. Dán chuỗi 250 ký tự vào trường Comments.
3. Bấm Apply. Xem đơn trong My Leave.
Kết thúc: khôi phục fixture theo Test Data.</t>
        </is>
      </c>
      <c r="D22" s="52" t="inlineStr">
        <is>
          <t>Đơn được gửi thành công. Comments lưu nguyên vẹn 250 ký tự mà không bị cắt bớt.</t>
        </is>
      </c>
      <c r="E22" s="52" t="inlineStr">
        <is>
          <t>Không phụ thuộc TC khác; dùng fixture setup.</t>
        </is>
      </c>
      <c r="F22" s="50" t="inlineStr">
        <is>
          <t>Untested</t>
        </is>
      </c>
      <c r="G22" s="53" t="n"/>
      <c r="H22" s="52" t="inlineStr">
        <is>
          <t>TD_LEAVE_SELF_04
Positive; Phân tích giá trị biên
Automation: P2</t>
        </is>
      </c>
    </row>
    <row r="23" ht="140" customHeight="1">
      <c r="A23" s="47" t="inlineStr">
        <is>
          <t>TC_LEAVE_SELF_015</t>
        </is>
      </c>
      <c r="B23" s="47" t="inlineStr">
        <is>
          <t>Nhập nội dung Comments vượt biên 250 ký tự (251 ký tự)</t>
        </is>
      </c>
      <c r="C23" s="47" t="inlineStr">
        <is>
          <t>Tiền điều kiện: Đang ở trang Apply Leave.
Input: Comments=chuỗi 251 ký tự
1. Nhập thông tin ngày hợp lệ.
2. Dán chuỗi 251 ký tự vào Comments.
3. Bấm Apply hoặc quan sát ô nhập.
Kết thúc: khôi phục fixture theo Test Data.</t>
        </is>
      </c>
      <c r="D23" s="47" t="inlineStr">
        <is>
          <t>Hiển thị lỗi vượt quá độ dài "Should not exceed 250 characters" hoặc input chặn ký tự thứ 251. Không lưu chuỗi 251 ký tự.</t>
        </is>
      </c>
      <c r="E23" s="47" t="inlineStr">
        <is>
          <t>Không phụ thuộc TC khác; dùng fixture setup.</t>
        </is>
      </c>
      <c r="F23" s="50" t="inlineStr">
        <is>
          <t>Untested</t>
        </is>
      </c>
      <c r="G23" s="51" t="n"/>
      <c r="H23" s="47" t="inlineStr">
        <is>
          <t>TD_LEAVE_SELF_04
Negative; Phân tích giá trị biên
Automation: P2</t>
        </is>
      </c>
    </row>
    <row r="24" ht="140" customHeight="1">
      <c r="A24" s="52" t="inlineStr">
        <is>
          <t>TC_LEAVE_SELF_016</t>
        </is>
      </c>
      <c r="B24" s="52" t="inlineStr">
        <is>
          <t>Xem danh sách My Leave với bộ lọc trạng thái mặc định</t>
        </is>
      </c>
      <c r="C24" s="52" t="inlineStr">
        <is>
          <t>Tiền điều kiện: Người dùng đã nộp ít nhất 1 đơn xin nghỉ phép.
Input: Vào trang My Leave List
1. Vào Leave &gt; My Leave.
2. Quan sát các bộ lọc mặc định và bảng kết quả.
Kết thúc: khôi phục fixture theo Test Data.</t>
        </is>
      </c>
      <c r="D24" s="52" t="inlineStr">
        <is>
          <t>Bảng hiển thị danh sách đơn của chính người dùng đăng nhập. Các cột Date, Employee Name, Leave Type, Leave Balance, Number of Days, Status hiển thị rõ ràng.</t>
        </is>
      </c>
      <c r="E24" s="52" t="inlineStr">
        <is>
          <t>Không phụ thuộc TC khác; dùng fixture setup.</t>
        </is>
      </c>
      <c r="F24" s="50" t="inlineStr">
        <is>
          <t>Untested</t>
        </is>
      </c>
      <c r="G24" s="53" t="n"/>
      <c r="H24" s="52" t="inlineStr">
        <is>
          <t>TD_LEAVE_SELF_04
Positive; Phân vùng tương đương
Automation: P1</t>
        </is>
      </c>
    </row>
    <row r="25" ht="140" customHeight="1">
      <c r="A25" s="47" t="inlineStr">
        <is>
          <t>TC_LEAVE_SELF_017</t>
        </is>
      </c>
      <c r="B25" s="47" t="inlineStr">
        <is>
          <t>Lọc danh sách My Leave theo khoảng thời gian From Date - To Date</t>
        </is>
      </c>
      <c r="C25" s="47" t="inlineStr">
        <is>
          <t>Tiền điều kiện: Có các đơn nộp trong tháng 11/2026.
Input: From Date=2026-11-01; To Date=2026-11-30
1. Vào My Leave, nhập From Date và To Date tháng 11.
2. Bấm Search.
3. Kiểm tra ngày của các dòng hiển thị.
Kết thúc: khôi phục fixture theo Test Data.</t>
        </is>
      </c>
      <c r="D25" s="47" t="inlineStr">
        <is>
          <t>Tất cả các bản ghi trả về đều có ngày nghỉ nằm trong khoảng từ 01/11/2026 đến 30/11/2026.</t>
        </is>
      </c>
      <c r="E25" s="47" t="inlineStr">
        <is>
          <t>Không phụ thuộc TC khác; dùng fixture setup.</t>
        </is>
      </c>
      <c r="F25" s="50" t="inlineStr">
        <is>
          <t>Untested</t>
        </is>
      </c>
      <c r="G25" s="51" t="n"/>
      <c r="H25" s="47" t="inlineStr">
        <is>
          <t>TD_LEAVE_SELF_04
Positive; Bảng quyết định
Automation: P1</t>
        </is>
      </c>
    </row>
    <row r="26" ht="140" customHeight="1">
      <c r="A26" s="52" t="inlineStr">
        <is>
          <t>TC_LEAVE_SELF_018</t>
        </is>
      </c>
      <c r="B26" s="52" t="inlineStr">
        <is>
          <t>Lọc danh sách My Leave với khoảng thời gian không có đơn</t>
        </is>
      </c>
      <c r="C26" s="52" t="inlineStr">
        <is>
          <t>Tiền điều kiện: Đang ở trang My Leave.
Input: From Date=2025-01-01; To Date=2025-01-05 (khoảng ngày không có đơn)
1. Nhập khoảng ngày vào bộ lọc.
2. Bấm Search.
Kết thúc: khôi phục fixture theo Test Data.</t>
        </is>
      </c>
      <c r="D26" s="52" t="inlineStr">
        <is>
          <t>Bảng kết quả hiển thị thông báo "No Records Found". Không có dòng dữ liệu cũ nào còn sót lại.</t>
        </is>
      </c>
      <c r="E26" s="52" t="inlineStr">
        <is>
          <t>Không phụ thuộc TC khác; dùng fixture setup.</t>
        </is>
      </c>
      <c r="F26" s="50" t="inlineStr">
        <is>
          <t>Untested</t>
        </is>
      </c>
      <c r="G26" s="53" t="n"/>
      <c r="H26" s="52" t="inlineStr">
        <is>
          <t>TD_LEAVE_SELF_04
Negative; Phân vùng tương đương
Automation: P1</t>
        </is>
      </c>
    </row>
    <row r="27" ht="140" customHeight="1">
      <c r="A27" s="47" t="inlineStr">
        <is>
          <t>TC_LEAVE_SELF_019</t>
        </is>
      </c>
      <c r="B27" s="47" t="inlineStr">
        <is>
          <t>Lọc danh sách My Leave theo trạng thái Pending Approval</t>
        </is>
      </c>
      <c r="C27" s="47" t="inlineStr">
        <is>
          <t>Tiền điều kiện: Có đơn Pending Approval và đơn đã Cancelled trong My Leave.
Input: Show Leave with Status chỉ chọn duy nhất "Pending Approval"
1. Tại bộ lọc Status, xóa các trạng thái khác, chỉ để lại "Pending Approval".
2. Bấm Search.
3. Đối chiếu cột Status của mọi dòng.
Kết thúc: khôi phục fixture theo Test Data.</t>
        </is>
      </c>
      <c r="D27" s="47" t="inlineStr">
        <is>
          <t>Tất cả các dòng kết quả đều có giá trị cột Status là "Pending Approval", không lẫn trạng thái khác.</t>
        </is>
      </c>
      <c r="E27" s="47" t="inlineStr">
        <is>
          <t>Không phụ thuộc TC khác; dùng fixture setup.</t>
        </is>
      </c>
      <c r="F27" s="50" t="inlineStr">
        <is>
          <t>Untested</t>
        </is>
      </c>
      <c r="G27" s="51" t="n"/>
      <c r="H27" s="47" t="inlineStr">
        <is>
          <t>TD_LEAVE_SELF_04
Positive; Bảng quyết định
Automation: P1</t>
        </is>
      </c>
    </row>
    <row r="28" ht="140" customHeight="1">
      <c r="A28" s="52" t="inlineStr">
        <is>
          <t>TC_LEAVE_SELF_020</t>
        </is>
      </c>
      <c r="B28" s="52" t="inlineStr">
        <is>
          <t>Lọc danh sách My Leave theo Leave Type cụ thể</t>
        </is>
      </c>
      <c r="C28" s="52" t="inlineStr">
        <is>
          <t>Tiền điều kiện: Có các đơn thuộc loại F_TYPE và loại phép khác.
Input: Leave Type=F_TYPE
1. Chọn F_TYPE tại dropdown Leave Type.
2. Bấm Search.
3. Kiểm tra cột Leave Type ở tất cả các dòng.
Kết thúc: khôi phục fixture theo Test Data.</t>
        </is>
      </c>
      <c r="D28" s="52" t="inlineStr">
        <is>
          <t>Mọi dòng trả về đều có cột Leave Type đúng là F_TYPE.</t>
        </is>
      </c>
      <c r="E28" s="52" t="inlineStr">
        <is>
          <t>Không phụ thuộc TC khác; dùng fixture setup.</t>
        </is>
      </c>
      <c r="F28" s="50" t="inlineStr">
        <is>
          <t>Untested</t>
        </is>
      </c>
      <c r="G28" s="53" t="n"/>
      <c r="H28" s="52" t="inlineStr">
        <is>
          <t>TD_LEAVE_SELF_04
Positive; Phân vùng tương đương
Automation: P1</t>
        </is>
      </c>
    </row>
    <row r="29" ht="140" customHeight="1">
      <c r="A29" s="47" t="inlineStr">
        <is>
          <t>TC_LEAVE_SELF_021</t>
        </is>
      </c>
      <c r="B29" s="47" t="inlineStr">
        <is>
          <t>Reset bộ lọc trên trang My Leave</t>
        </is>
      </c>
      <c r="C29" s="47" t="inlineStr">
        <is>
          <t>Tiền điều kiện: Đang ở My Leave với các ô From Date, To Date đã nhập dữ liệu và chọn loại phép.
Input: Bấm nút Reset
1. Nhập From Date, To Date và chọn Leave Type.
2. Bấm Search để có kết quả lọc.
3. Bấm nút Reset.
Kết thúc: khôi phục fixture theo Test Data.</t>
        </is>
      </c>
      <c r="D29" s="47" t="inlineStr">
        <is>
          <t>Các ô From Date, To Date được xóa trống, dropdown về mặc định, các chip trạng thái về giá trị mặc định, bảng được tải lại danh sách đầy đủ.</t>
        </is>
      </c>
      <c r="E29" s="47" t="inlineStr">
        <is>
          <t>Không phụ thuộc TC khác; dùng fixture setup.</t>
        </is>
      </c>
      <c r="F29" s="50" t="inlineStr">
        <is>
          <t>Untested</t>
        </is>
      </c>
      <c r="G29" s="51" t="n"/>
      <c r="H29" s="47" t="inlineStr">
        <is>
          <t>TD_LEAVE_SELF_04
Positive; Chuyển trạng thái
Automation: P1</t>
        </is>
      </c>
    </row>
    <row r="30" ht="140" customHeight="1">
      <c r="A30" s="52" t="inlineStr">
        <is>
          <t>TC_LEAVE_SELF_022</t>
        </is>
      </c>
      <c r="B30" s="52" t="inlineStr">
        <is>
          <t>Hủy đơn xin nghỉ phép đang ở trạng thái Pending Approval</t>
        </is>
      </c>
      <c r="C30" s="52" t="inlineStr">
        <is>
          <t>Tiền điều kiện: Có một đơn F_REQ_PEND ở trạng thái "Pending Approval". Ghi lại Leave Balance trước khi hủy.
Input: Bấm nút Cancel tại dòng đơn F_REQ_PEND
1. Vào My Leave, tìm đơn F_REQ_PEND.
2. Tại cột Actions, bấm nút Cancel.
3. Tải lại trang và quan sát trạng thái.
Kết thúc: khôi phục fixture theo Test Data.</t>
        </is>
      </c>
      <c r="D30" s="52" t="inlineStr">
        <is>
          <t>Thông báo "Successfully Updated". Trạng thái đơn chuyển từ "Pending Approval" sang "Cancelled". Số dư phép (Leave Balance) được hoàn lại số ngày của đơn.</t>
        </is>
      </c>
      <c r="E30" s="52" t="inlineStr">
        <is>
          <t>Không phụ thuộc TC khác; dùng fixture setup.</t>
        </is>
      </c>
      <c r="F30" s="50" t="inlineStr">
        <is>
          <t>Untested</t>
        </is>
      </c>
      <c r="G30" s="53" t="n"/>
      <c r="H30" s="52" t="inlineStr">
        <is>
          <t>TD_LEAVE_SELF_05
Positive; Chuyển trạng thái
Automation: P1</t>
        </is>
      </c>
    </row>
    <row r="31" ht="156" customHeight="1">
      <c r="A31" s="47" t="inlineStr">
        <is>
          <t>TC_LEAVE_SELF_023</t>
        </is>
      </c>
      <c r="B31" s="47" t="inlineStr">
        <is>
          <t>Hủy đơn xin nghỉ phép đang ở trạng thái Scheduled (đã duyệt)</t>
        </is>
      </c>
      <c r="C31" s="47" t="inlineStr">
        <is>
          <t>Tiền điều kiện: Có đơn F_REQ_SCHED ở trạng thái "Scheduled" (đã được Admin Approve trước đó).
Input: Bấm Cancel tại dòng F_REQ_SCHED
1. Vào My Leave, tìm đơn có Status="Scheduled".
2. Bấm nút Cancel ở cột Actions.
3. Tải lại trang kiểm tra trạng thái.
Kết thúc: khôi phục fixture theo Test Data.</t>
        </is>
      </c>
      <c r="D31" s="47" t="inlineStr">
        <is>
          <t>Thao tác thành công. Trạng thái đơn đổi thành "Cancelled", số ngày nghỉ được hoàn lại vào Leave Balance của nhân viên.</t>
        </is>
      </c>
      <c r="E31" s="47" t="inlineStr">
        <is>
          <t>Không phụ thuộc TC khác; dùng fixture setup.</t>
        </is>
      </c>
      <c r="F31" s="50" t="inlineStr">
        <is>
          <t>Untested</t>
        </is>
      </c>
      <c r="G31" s="51" t="n"/>
      <c r="H31" s="47" t="inlineStr">
        <is>
          <t>TD_LEAVE_SELF_05
Positive; Chuyển trạng thái
Automation: P1</t>
        </is>
      </c>
    </row>
    <row r="32" ht="156" customHeight="1">
      <c r="A32" s="52" t="inlineStr">
        <is>
          <t>TC_LEAVE_SELF_024</t>
        </is>
      </c>
      <c r="B32" s="52" t="inlineStr">
        <is>
          <t>Kiểm tra đơn đã Rejected không có tùy chọn Cancel</t>
        </is>
      </c>
      <c r="C32" s="52" t="inlineStr">
        <is>
          <t>Tiền điều kiện: Có đơn ở trạng thái "Rejected" (bị từ chối bởi Admin).
Input: Đơn Status="Rejected"
1. Vào My Leave, tìm đơn có Status="Rejected".
2. Quan sát cột Actions của dòng này.
Kết thúc: khôi phục fixture theo Test Data.</t>
        </is>
      </c>
      <c r="D32" s="52" t="inlineStr">
        <is>
          <t>Tại cột Actions của đơn Rejected không xuất hiện nút Cancel hoặc nút Cancel bị vô hiệu hóa, không thể click.</t>
        </is>
      </c>
      <c r="E32" s="52" t="inlineStr">
        <is>
          <t>Không phụ thuộc TC khác; dùng fixture setup.</t>
        </is>
      </c>
      <c r="F32" s="50" t="inlineStr">
        <is>
          <t>Untested</t>
        </is>
      </c>
      <c r="G32" s="53" t="n"/>
      <c r="H32" s="52" t="inlineStr">
        <is>
          <t>TD_LEAVE_SELF_05
Negative; Bảng quyết định
Automation: P2</t>
        </is>
      </c>
    </row>
    <row r="33" ht="140" customHeight="1">
      <c r="A33" s="47" t="inlineStr">
        <is>
          <t>TC_LEAVE_SELF_025</t>
        </is>
      </c>
      <c r="B33" s="47" t="inlineStr">
        <is>
          <t>Kiểm tra đơn đã Taken trong quá khứ không cho phép Cancel</t>
        </is>
      </c>
      <c r="C33" s="47" t="inlineStr">
        <is>
          <t>Tiền điều kiện: Có đơn ở trạng thái "Taken" (kỳ nghỉ đã diễn ra xong trong quá khứ).
Input: Đơn Status="Taken"
1. Vào My Leave, lọc và tìm đơn có Status="Taken".
2. Kiểm tra thao tác tại cột Actions.
Kết thúc: khôi phục fixture theo Test Data.</t>
        </is>
      </c>
      <c r="D33" s="47" t="inlineStr">
        <is>
          <t>Không cho phép Cancel đơn đã Taken. Không hiển thị nút Cancel trên dòng bản ghi này.</t>
        </is>
      </c>
      <c r="E33" s="47" t="inlineStr">
        <is>
          <t>Không phụ thuộc TC khác; dùng fixture setup.</t>
        </is>
      </c>
      <c r="F33" s="50" t="inlineStr">
        <is>
          <t>Untested</t>
        </is>
      </c>
      <c r="G33" s="51" t="n"/>
      <c r="H33" s="47" t="inlineStr">
        <is>
          <t>TD_LEAVE_SELF_05
Negative; Chuyển trạng thái
Automation: P2</t>
        </is>
      </c>
    </row>
  </sheetData>
  <mergeCells count="5">
    <mergeCell ref="F6:H6"/>
    <mergeCell ref="F5:H5"/>
    <mergeCell ref="B4:H4"/>
    <mergeCell ref="B2:H2"/>
    <mergeCell ref="B3:H3"/>
  </mergeCells>
  <conditionalFormatting sqref="F9:F33">
    <cfRule type="containsText" priority="1" operator="containsText" dxfId="0" text="Passed"/>
    <cfRule type="containsText" priority="2" operator="containsText" dxfId="1" text="Failed"/>
    <cfRule type="containsText" priority="3" operator="containsText" dxfId="2" text="Blocked"/>
    <cfRule type="containsText" priority="4" operator="containsText" dxfId="3" text="Skipped"/>
  </conditionalFormatting>
  <dataValidations count="1">
    <dataValidation sqref="F9:F33" showDropDown="0" showInputMessage="0" showErrorMessage="0" allowBlank="0" type="list">
      <formula1>"Passed,Failed,Untested,Blocked,Skipped"</formula1>
    </dataValidation>
  </dataValidations>
  <pageMargins left="0.7" right="0.7" top="0.75" bottom="0.75" header="0.3" footer="0.3"/>
</worksheet>
</file>

<file path=xl/worksheets/sheet6.xml><?xml version="1.0" encoding="utf-8"?>
<worksheet xmlns="http://schemas.openxmlformats.org/spreadsheetml/2006/main">
  <sheetPr>
    <tabColor rgb="FF1F4E78"/>
    <outlinePr summaryBelow="1" summaryRight="1"/>
    <pageSetUpPr/>
  </sheetPr>
  <dimension ref="A1:H33"/>
  <sheetViews>
    <sheetView showGridLines="1" workbookViewId="0">
      <pane xSplit="1" ySplit="8" topLeftCell="B9" activePane="bottomRight" state="frozen"/>
      <selection activeCell="A1" sqref="A1"/>
    </sheetView>
  </sheetViews>
  <sheetFormatPr baseColWidth="8" defaultRowHeight="15"/>
  <cols>
    <col width="25" customWidth="1" min="1" max="1"/>
    <col width="36" customWidth="1" min="2" max="2"/>
    <col width="72" customWidth="1" min="3" max="3"/>
    <col width="65" customWidth="1" min="4" max="4"/>
    <col width="24" customWidth="1" min="5" max="5"/>
    <col width="14" customWidth="1" min="6" max="6"/>
    <col width="15" customWidth="1" min="7" max="7"/>
    <col width="40" customWidth="1" min="8" max="8"/>
  </cols>
  <sheetData>
    <row r="1">
      <c r="A1" s="3" t="n"/>
      <c r="B1" s="3" t="n"/>
      <c r="C1" s="3" t="n"/>
      <c r="D1" s="3" t="n"/>
      <c r="E1" s="3" t="n"/>
      <c r="F1" s="3" t="n"/>
      <c r="G1" s="3" t="n"/>
      <c r="H1" s="3" t="n"/>
    </row>
    <row r="2">
      <c r="A2" s="7" t="inlineStr">
        <is>
          <t>Module Code</t>
        </is>
      </c>
      <c r="B2" s="3" t="inlineStr">
        <is>
          <t>LEAVE_ADMIN</t>
        </is>
      </c>
    </row>
    <row r="3">
      <c r="A3" s="7" t="inlineStr">
        <is>
          <t>Test requirement</t>
        </is>
      </c>
      <c r="B3" s="3" t="inlineStr">
        <is>
          <t>Leave List và Request Actions</t>
        </is>
      </c>
    </row>
    <row r="4">
      <c r="A4" s="7" t="inlineStr">
        <is>
          <t>Tester</t>
        </is>
      </c>
      <c r="B4" s="3" t="inlineStr">
        <is>
          <t>Cao Tiến Thành - 22130254</t>
        </is>
      </c>
    </row>
    <row r="5" ht="24" customHeight="1">
      <c r="A5" s="48" t="inlineStr">
        <is>
          <t>Passed</t>
        </is>
      </c>
      <c r="B5" s="48" t="inlineStr">
        <is>
          <t>Failed</t>
        </is>
      </c>
      <c r="C5" s="48" t="inlineStr">
        <is>
          <t>Untested</t>
        </is>
      </c>
      <c r="D5" s="48" t="inlineStr">
        <is>
          <t>Blocked</t>
        </is>
      </c>
      <c r="E5" s="48" t="inlineStr">
        <is>
          <t>Skipped</t>
        </is>
      </c>
      <c r="F5" s="48" t="inlineStr">
        <is>
          <t>Number of Test cases</t>
        </is>
      </c>
      <c r="G5" s="24" t="n"/>
      <c r="H5" s="25" t="n"/>
    </row>
    <row r="6" ht="24" customHeight="1">
      <c r="A6" s="49">
        <f>COUNTIF($F$9:$F$33,"Passed")</f>
        <v/>
      </c>
      <c r="B6" s="49">
        <f>COUNTIF($F$9:$F$33,"Failed")</f>
        <v/>
      </c>
      <c r="C6" s="49">
        <f>COUNTIF($F$9:$F$33,"Untested")</f>
        <v/>
      </c>
      <c r="D6" s="49">
        <f>COUNTIF($F$9:$F$33,"Blocked")</f>
        <v/>
      </c>
      <c r="E6" s="49">
        <f>COUNTIF($F$9:$F$33,"Skipped")</f>
        <v/>
      </c>
      <c r="F6" s="49">
        <f>COUNTA(A9:A33)</f>
        <v/>
      </c>
      <c r="G6" s="24" t="n"/>
      <c r="H6" s="25" t="n"/>
    </row>
    <row r="7">
      <c r="A7" s="3" t="n"/>
      <c r="B7" s="3" t="n"/>
      <c r="C7" s="3" t="n"/>
      <c r="D7" s="3" t="n"/>
      <c r="E7" s="3" t="n"/>
      <c r="F7" s="3" t="n"/>
      <c r="G7" s="3" t="n"/>
      <c r="H7" s="3" t="n"/>
    </row>
    <row r="8" ht="34" customHeight="1">
      <c r="A8" s="46" t="inlineStr">
        <is>
          <t>ID</t>
        </is>
      </c>
      <c r="B8" s="46" t="inlineStr">
        <is>
          <t>Test Case Description</t>
        </is>
      </c>
      <c r="C8" s="46" t="inlineStr">
        <is>
          <t>Test Case Procedure</t>
        </is>
      </c>
      <c r="D8" s="46" t="inlineStr">
        <is>
          <t>Expected Output</t>
        </is>
      </c>
      <c r="E8" s="46" t="inlineStr">
        <is>
          <t>Inter-test case Dependence</t>
        </is>
      </c>
      <c r="F8" s="46" t="inlineStr">
        <is>
          <t>Result</t>
        </is>
      </c>
      <c r="G8" s="46" t="inlineStr">
        <is>
          <t>Test date</t>
        </is>
      </c>
      <c r="H8" s="46" t="inlineStr">
        <is>
          <t>Note</t>
        </is>
      </c>
    </row>
    <row r="9" ht="140" customHeight="1">
      <c r="A9" s="47" t="inlineStr">
        <is>
          <t>TC_LEAVE_ADMIN_001</t>
        </is>
      </c>
      <c r="B9" s="47" t="inlineStr">
        <is>
          <t>Tìm kiếm Leave List theo Employee Name hợp lệ qua autocomplete</t>
        </is>
      </c>
      <c r="C9" s="47" t="inlineStr">
        <is>
          <t>Tiền điều kiện: Admin đã đăng nhập. Nhân viên F_EMP đã có đơn xin nghỉ phép trong hệ thống.
Input: Employee Name=F_EMP (chọn chính xác từ gợi ý autocomplete)
1. Vào Leave &gt; Leave List.
2. Gõ tiền tố tên F_EMP vào Employee Name, đợi gợi ý và bấm chọn đúng nhân viên.
3. Bấm nút Search. Kiểm tra danh sách kết quả.
Kết thúc: khôi phục fixture theo Test Data.</t>
        </is>
      </c>
      <c r="D9" s="47" t="inlineStr">
        <is>
          <t>Bảng kết quả chỉ hiển thị các đơn nghỉ phép thuộc về đúng nhân viên F_EMP đã chọn. Không có nhân viên khác trong kết quả.</t>
        </is>
      </c>
      <c r="E9" s="47" t="inlineStr">
        <is>
          <t>Không phụ thuộc TC khác; dùng fixture setup.</t>
        </is>
      </c>
      <c r="F9" s="50" t="inlineStr">
        <is>
          <t>Untested</t>
        </is>
      </c>
      <c r="G9" s="51" t="n"/>
      <c r="H9" s="47" t="inlineStr">
        <is>
          <t>TD_LEAVE_ADMIN_01
Positive; Phân vùng tương đương
Automation: P1</t>
        </is>
      </c>
    </row>
    <row r="10" ht="140" customHeight="1">
      <c r="A10" s="52" t="inlineStr">
        <is>
          <t>TC_LEAVE_ADMIN_002</t>
        </is>
      </c>
      <c r="B10" s="52" t="inlineStr">
        <is>
          <t>Tìm kiếm Leave List với Employee Name không tồn tại</t>
        </is>
      </c>
      <c r="C10" s="52" t="inlineStr">
        <is>
          <t>Tiền điều kiện: Admin đã đăng nhập.
Input: Employee Name="Unknown_Employee_G01X"
1. Mở Leave List.
2. Gõ tên không tồn tại vào Employee Name.
3. Quan sát gợi ý và bấm Search nếu cho phép.
Kết thúc: khôi phục fixture theo Test Data.</t>
        </is>
      </c>
      <c r="D10" s="52" t="inlineStr">
        <is>
          <t>Autocomplete hiển thị "No Records Found", không chọn được nhân viên. Bảng kết quả không hiển thị bản ghi nào.</t>
        </is>
      </c>
      <c r="E10" s="52" t="inlineStr">
        <is>
          <t>Không phụ thuộc TC khác; dùng fixture setup.</t>
        </is>
      </c>
      <c r="F10" s="50" t="inlineStr">
        <is>
          <t>Untested</t>
        </is>
      </c>
      <c r="G10" s="53" t="n"/>
      <c r="H10" s="52" t="inlineStr">
        <is>
          <t>TD_LEAVE_ADMIN_01
Negative; Phân vùng tương đương
Automation: P1</t>
        </is>
      </c>
    </row>
    <row r="11" ht="140" customHeight="1">
      <c r="A11" s="47" t="inlineStr">
        <is>
          <t>TC_LEAVE_ADMIN_003</t>
        </is>
      </c>
      <c r="B11" s="47" t="inlineStr">
        <is>
          <t>Lọc Leave List kết hợp Leave Type và trạng thái Pending Approval</t>
        </is>
      </c>
      <c r="C11" s="47" t="inlineStr">
        <is>
          <t>Tiền điều kiện: Admin đã đăng nhập. Có đơn Pending của loại F_TYPE và các loại phép khác.
Input: Leave Type=F_TYPE; Status="Pending Approval"
1. Vào Leave List, chọn Leave Type=F_TYPE.
2. Chọn Status chỉ có "Pending Approval".
3. Bấm Search. Kiểm tra mọi dòng kết quả.
Kết thúc: khôi phục fixture theo Test Data.</t>
        </is>
      </c>
      <c r="D11" s="47" t="inlineStr">
        <is>
          <t>Tất cả kết quả trả về thỏa mãn đồng thời cả hai điều kiện: Leave Type đúng là F_TYPE và Status đúng là "Pending Approval".</t>
        </is>
      </c>
      <c r="E11" s="47" t="inlineStr">
        <is>
          <t>Không phụ thuộc TC khác; dùng fixture setup.</t>
        </is>
      </c>
      <c r="F11" s="50" t="inlineStr">
        <is>
          <t>Untested</t>
        </is>
      </c>
      <c r="G11" s="51" t="n"/>
      <c r="H11" s="47" t="inlineStr">
        <is>
          <t>TD_LEAVE_ADMIN_01
Integration; Bảng quyết định
Automation: P1</t>
        </is>
      </c>
    </row>
    <row r="12" ht="140" customHeight="1">
      <c r="A12" s="52" t="inlineStr">
        <is>
          <t>TC_LEAVE_ADMIN_004</t>
        </is>
      </c>
      <c r="B12" s="52" t="inlineStr">
        <is>
          <t>Lọc Leave List theo Sub Unit của tổ chức</t>
        </is>
      </c>
      <c r="C12" s="52" t="inlineStr">
        <is>
          <t>Tiền điều kiện: Admin đã đăng nhập. Có nhân viên thuộc Sub Unit chỉ định (vd: SUBUNIT_A).
Input: Sub Unit=SUBUNIT_A
1. Chọn giá trị SUBUNIT_A tại dropdown Sub Unit.
2. Bấm Search. Đối chiếu danh sách.
Kết thúc: khôi phục fixture theo Test Data.</t>
        </is>
      </c>
      <c r="D12" s="52" t="inlineStr">
        <is>
          <t>Danh sách chỉ chứa các đơn của những nhân viên thuộc đúng Sub Unit đã chọn.</t>
        </is>
      </c>
      <c r="E12" s="52" t="inlineStr">
        <is>
          <t>Không phụ thuộc TC khác; dùng fixture setup.</t>
        </is>
      </c>
      <c r="F12" s="50" t="inlineStr">
        <is>
          <t>Untested</t>
        </is>
      </c>
      <c r="G12" s="53" t="n"/>
      <c r="H12" s="52" t="inlineStr">
        <is>
          <t>TD_LEAVE_ADMIN_01
Positive; Phân vùng tương đương
Automation: P1</t>
        </is>
      </c>
    </row>
    <row r="13" ht="140" customHeight="1">
      <c r="A13" s="47" t="inlineStr">
        <is>
          <t>TC_LEAVE_ADMIN_005</t>
        </is>
      </c>
      <c r="B13" s="47" t="inlineStr">
        <is>
          <t>Lọc Leave List theo khoảng thời gian From Date - To Date hợp lệ</t>
        </is>
      </c>
      <c r="C13" s="47" t="inlineStr">
        <is>
          <t>Tiền điều kiện: Admin đã đăng nhập.
Input: From Date=2026-11-01; To Date=2026-11-30
1. Nhập From Date và To Date vào bộ lọc Leave List.
2. Bấm Search.
3. Kiểm tra ngày của các dòng trong bảng.
Kết thúc: khôi phục fixture theo Test Data.</t>
        </is>
      </c>
      <c r="D13" s="47" t="inlineStr">
        <is>
          <t>Tất cả các đơn hiển thị đều có ngày nghỉ rơi vào khoảng từ 01/11/2026 đến 30/11/2026.</t>
        </is>
      </c>
      <c r="E13" s="47" t="inlineStr">
        <is>
          <t>Không phụ thuộc TC khác; dùng fixture setup.</t>
        </is>
      </c>
      <c r="F13" s="50" t="inlineStr">
        <is>
          <t>Untested</t>
        </is>
      </c>
      <c r="G13" s="51" t="n"/>
      <c r="H13" s="47" t="inlineStr">
        <is>
          <t>TD_LEAVE_ADMIN_01
Positive; Phân vùng tương đương
Automation: P1</t>
        </is>
      </c>
    </row>
    <row r="14" ht="140" customHeight="1">
      <c r="A14" s="52" t="inlineStr">
        <is>
          <t>TC_LEAVE_ADMIN_006</t>
        </is>
      </c>
      <c r="B14" s="52" t="inlineStr">
        <is>
          <t>Lọc Leave List với From Date lớn hơn To Date</t>
        </is>
      </c>
      <c r="C14" s="52" t="inlineStr">
        <is>
          <t>Tiền điều kiện: Admin đã đăng nhập.
Input: From Date=2026-11-30; To Date=2026-11-01 (From &gt; To)
1. Nhập From Date lớn hơn To Date.
2. Bấm Search hoặc quan sát validation.
Kết thúc: khôi phục fixture theo Test Data.</t>
        </is>
      </c>
      <c r="D14" s="52" t="inlineStr">
        <is>
          <t>Trường To Date hiển thị lỗi "To date should be after from date". Hệ thống không thực hiện truy vấn với khoảng ngày sai.</t>
        </is>
      </c>
      <c r="E14" s="52" t="inlineStr">
        <is>
          <t>Không phụ thuộc TC khác; dùng fixture setup.</t>
        </is>
      </c>
      <c r="F14" s="50" t="inlineStr">
        <is>
          <t>Untested</t>
        </is>
      </c>
      <c r="G14" s="53" t="n"/>
      <c r="H14" s="52" t="inlineStr">
        <is>
          <t>TD_LEAVE_ADMIN_01
Negative; Bảng quyết định
Automation: P1</t>
        </is>
      </c>
    </row>
    <row r="15" ht="140" customHeight="1">
      <c r="A15" s="47" t="inlineStr">
        <is>
          <t>TC_LEAVE_ADMIN_007</t>
        </is>
      </c>
      <c r="B15" s="47" t="inlineStr">
        <is>
          <t>Lọc đồng thời nhiều trạng thái trong Show Leave with Status</t>
        </is>
      </c>
      <c r="C15" s="47" t="inlineStr">
        <is>
          <t>Tiền điều kiện: Admin đã đăng nhập. Có sẵn đơn Pending Approval và đơn Scheduled.
Input: Status chọn cả hai chip: "Pending Approval" và "Scheduled"
1. Thêm cả hai trạng thái vào bộ chọn Status.
2. Bấm Search.
3. Kiểm tra các dòng kết quả.
Kết thúc: khôi phục fixture theo Test Data.</t>
        </is>
      </c>
      <c r="D15" s="47" t="inlineStr">
        <is>
          <t>Bảng kết quả hiển thị đồng thời các đơn có trạng thái Pending Approval và Scheduled, không hiển thị Rejected hay Cancelled.</t>
        </is>
      </c>
      <c r="E15" s="47" t="inlineStr">
        <is>
          <t>Không phụ thuộc TC khác; dùng fixture setup.</t>
        </is>
      </c>
      <c r="F15" s="50" t="inlineStr">
        <is>
          <t>Untested</t>
        </is>
      </c>
      <c r="G15" s="51" t="n"/>
      <c r="H15" s="47" t="inlineStr">
        <is>
          <t>TD_LEAVE_ADMIN_02
Positive; Bảng quyết định
Automation: P1</t>
        </is>
      </c>
    </row>
    <row r="16" ht="140" customHeight="1">
      <c r="A16" s="52" t="inlineStr">
        <is>
          <t>TC_LEAVE_ADMIN_008</t>
        </is>
      </c>
      <c r="B16" s="52" t="inlineStr">
        <is>
          <t>Bật toggle Include Past Employees khi tìm kiếm</t>
        </is>
      </c>
      <c r="C16" s="52" t="inlineStr">
        <is>
          <t>Tiền điều kiện: Admin đã đăng nhập. Trong hệ thống có nhân viên đã nghỉ việc từng có đơn nghỉ phép.
Input: Bật toggle "Include Past Employees"
1. Bật toggle Include Past Employees sang trạng thái On.
2. Bấm Search.
3. Đối chiếu danh sách kết quả.
Kết thúc: khôi phục fixture theo Test Data.</t>
        </is>
      </c>
      <c r="D16" s="52" t="inlineStr">
        <is>
          <t>Danh sách kết quả bao gồm cả các đơn nghỉ phép lịch sử của nhân viên đã thôi việc (Past Employees).</t>
        </is>
      </c>
      <c r="E16" s="52" t="inlineStr">
        <is>
          <t>Không phụ thuộc TC khác; dùng fixture setup.</t>
        </is>
      </c>
      <c r="F16" s="50" t="inlineStr">
        <is>
          <t>Untested</t>
        </is>
      </c>
      <c r="G16" s="53" t="n"/>
      <c r="H16" s="52" t="inlineStr">
        <is>
          <t>TD_LEAVE_ADMIN_02
Positive; Chuyển trạng thái
Automation: P2</t>
        </is>
      </c>
    </row>
    <row r="17" ht="140" customHeight="1">
      <c r="A17" s="47" t="inlineStr">
        <is>
          <t>TC_LEAVE_ADMIN_009</t>
        </is>
      </c>
      <c r="B17" s="47" t="inlineStr">
        <is>
          <t>Bấm nút Reset trên form lọc Leave List</t>
        </is>
      </c>
      <c r="C17" s="47" t="inlineStr">
        <is>
          <t>Tiền điều kiện: Đang ở Leave List với các trường lọc đã chọn giá trị tùy biến.
Input: Bấm nút Reset
1. Điền From Date, To Date, chọn Employee Name và Sub Unit.
2. Bấm Search.
3. Bấm nút Reset.
Kết thúc: khôi phục fixture theo Test Data.</t>
        </is>
      </c>
      <c r="D17" s="47" t="inlineStr">
        <is>
          <t>Tất cả các trường nhập liệu From Date, To Date, Employee Name, Sub Unit được xóa rỗng; trạng thái trở về mặc định (Pending Approval); danh sách tải lại.</t>
        </is>
      </c>
      <c r="E17" s="47" t="inlineStr">
        <is>
          <t>Không phụ thuộc TC khác; dùng fixture setup.</t>
        </is>
      </c>
      <c r="F17" s="50" t="inlineStr">
        <is>
          <t>Untested</t>
        </is>
      </c>
      <c r="G17" s="51" t="n"/>
      <c r="H17" s="47" t="inlineStr">
        <is>
          <t>TD_LEAVE_ADMIN_02
Positive; Chuyển trạng thái
Automation: P1</t>
        </is>
      </c>
    </row>
    <row r="18" ht="140" customHeight="1">
      <c r="A18" s="52" t="inlineStr">
        <is>
          <t>TC_LEAVE_ADMIN_010</t>
        </is>
      </c>
      <c r="B18" s="52" t="inlineStr">
        <is>
          <t>Phê duyệt (Approve) một đơn nghỉ phép đang ở trạng thái Pending Approval</t>
        </is>
      </c>
      <c r="C18" s="52" t="inlineStr">
        <is>
          <t>Tiền điều kiện: Có đơn nghỉ phép F_REQ_PEND của nhân viên F_EMP ở trạng thái "Pending Approval".
Input: Click nút Approve tại dòng đơn F_REQ_PEND
1. Vào Leave List, tìm dòng F_REQ_PEND.
2. Tại cột Actions, nhấp nút Approve (hoặc chọn Approve trong menu hành động).
3. Tải lại danh sách kiểm tra.
Kết thúc: khôi phục fixture theo Test Data.</t>
        </is>
      </c>
      <c r="D18" s="52" t="inlineStr">
        <is>
          <t>Thông báo "Successfully Updated". Cột Status của đơn chuyển ngay từ "Pending Approval" sang "Scheduled". Nút Approve/Reject biến mất.</t>
        </is>
      </c>
      <c r="E18" s="52" t="inlineStr">
        <is>
          <t>Không phụ thuộc TC khác; dùng fixture setup.</t>
        </is>
      </c>
      <c r="F18" s="50" t="inlineStr">
        <is>
          <t>Untested</t>
        </is>
      </c>
      <c r="G18" s="53" t="n"/>
      <c r="H18" s="52" t="inlineStr">
        <is>
          <t>TD_LEAVE_ADMIN_03
Positive; Chuyển trạng thái
Automation: P1</t>
        </is>
      </c>
    </row>
    <row r="19" ht="140" customHeight="1">
      <c r="A19" s="47" t="inlineStr">
        <is>
          <t>TC_LEAVE_ADMIN_011</t>
        </is>
      </c>
      <c r="B19" s="47" t="inlineStr">
        <is>
          <t>Xác nhận trạng thái Scheduled sau khi Approve hiển thị đồng bộ bên Employee</t>
        </is>
      </c>
      <c r="C19" s="47" t="inlineStr">
        <is>
          <t>Tiền điều kiện: Đơn F_REQ_PEND vừa được Approve thành Scheduled ở TC trước.
Input: Đăng nhập tài khoản nhân viên F_EMP
1. Đăng nhập phía nhân viên F_EMP (hoặc lọc My Leave của F_EMP).
2. Vào Leave &gt; My Leave.
3. Tìm dòng đơn tương ứng.
Kết thúc: khôi phục fixture theo Test Data.</t>
        </is>
      </c>
      <c r="D19" s="47" t="inlineStr">
        <is>
          <t>Bên phía nhân viên hiển thị chính xác trạng thái "Scheduled", thông tin ngày và số ngày khớp hoàn toàn với bản ghi Admin đã duyệt.</t>
        </is>
      </c>
      <c r="E19" s="47" t="inlineStr">
        <is>
          <t>Không phụ thuộc TC khác; dùng fixture setup.</t>
        </is>
      </c>
      <c r="F19" s="50" t="inlineStr">
        <is>
          <t>Untested</t>
        </is>
      </c>
      <c r="G19" s="51" t="n"/>
      <c r="H19" s="47" t="inlineStr">
        <is>
          <t>TD_LEAVE_ADMIN_03
Positive; Chuyển trạng thái
Automation: P1</t>
        </is>
      </c>
    </row>
    <row r="20" ht="140" customHeight="1">
      <c r="A20" s="52" t="inlineStr">
        <is>
          <t>TC_LEAVE_ADMIN_012</t>
        </is>
      </c>
      <c r="B20" s="52" t="inlineStr">
        <is>
          <t>Từ chối (Reject) một đơn nghỉ phép đang ở trạng thái Pending Approval</t>
        </is>
      </c>
      <c r="C20" s="52" t="inlineStr">
        <is>
          <t>Tiền điều kiện: Có đơn nghỉ phép F_REQ_REJ ở trạng thái "Pending Approval".
Input: Click nút Reject tại dòng đơn F_REQ_REJ
1. Vào Leave List, tìm đơn F_REQ_REJ.
2. Tại cột Actions, nhấp nút Reject.
3. Tải lại trang và quan sát trạng thái.
Kết thúc: khôi phục fixture theo Test Data.</t>
        </is>
      </c>
      <c r="D20" s="52" t="inlineStr">
        <is>
          <t>Thông báo "Successfully Updated". Trạng thái của đơn chuyển ngay thành "Rejected".</t>
        </is>
      </c>
      <c r="E20" s="52" t="inlineStr">
        <is>
          <t>Không phụ thuộc TC khác; dùng fixture setup.</t>
        </is>
      </c>
      <c r="F20" s="50" t="inlineStr">
        <is>
          <t>Untested</t>
        </is>
      </c>
      <c r="G20" s="53" t="n"/>
      <c r="H20" s="52" t="inlineStr">
        <is>
          <t>TD_LEAVE_ADMIN_04
Positive; Chuyển trạng thái
Automation: P1</t>
        </is>
      </c>
    </row>
    <row r="21" ht="140" customHeight="1">
      <c r="A21" s="47" t="inlineStr">
        <is>
          <t>TC_LEAVE_ADMIN_013</t>
        </is>
      </c>
      <c r="B21" s="47" t="inlineStr">
        <is>
          <t>Kiểm tra hoàn trả hạn mức phép sau khi Admin Reject đơn</t>
        </is>
      </c>
      <c r="C21" s="47" t="inlineStr">
        <is>
          <t>Tiền điều kiện: Ghi lại Leave Balance của nhân viên trước khi Reject đơn 2 ngày.
Input: Đơn 2 ngày bị Reject bởi Admin
1. Ghi nhận số dư phép ban đầu.
2. Admin thực hiện Reject đơn nghỉ phép 2 ngày.
3. Kiểm tra lại Leave Balance của nhân viên tại Entitlements hoặc Apply.
Kết thúc: khôi phục fixture theo Test Data.</t>
        </is>
      </c>
      <c r="D21" s="47" t="inlineStr">
        <is>
          <t>Hệ thống hoàn trả lại đúng 2.00 ngày vào Leave Balance của nhân viên (Leave Balance tăng lên 2.00 ngày).</t>
        </is>
      </c>
      <c r="E21" s="47" t="inlineStr">
        <is>
          <t>Không phụ thuộc TC khác; dùng fixture setup.</t>
        </is>
      </c>
      <c r="F21" s="50" t="inlineStr">
        <is>
          <t>Untested</t>
        </is>
      </c>
      <c r="G21" s="51" t="n"/>
      <c r="H21" s="47" t="inlineStr">
        <is>
          <t>TD_LEAVE_ADMIN_04
Positive; Bảng quyết định
Automation: P1</t>
        </is>
      </c>
    </row>
    <row r="22" ht="140" customHeight="1">
      <c r="A22" s="52" t="inlineStr">
        <is>
          <t>TC_LEAVE_ADMIN_014</t>
        </is>
      </c>
      <c r="B22" s="52" t="inlineStr">
        <is>
          <t>Admin thực hiện Hủy (Cancel) một đơn nghỉ phép đang Scheduled</t>
        </is>
      </c>
      <c r="C22" s="52" t="inlineStr">
        <is>
          <t>Tiền điều kiện: Có đơn ở trạng thái "Scheduled".
Input: Bấm Cancel tại dòng đơn Scheduled
1. Vào Leave List, tìm đơn có Status="Scheduled".
2. Nhấp nút Cancel tại cột Actions.
3. Tải lại danh sách kiểm tra.
Kết thúc: khôi phục fixture theo Test Data.</t>
        </is>
      </c>
      <c r="D22" s="52" t="inlineStr">
        <is>
          <t>Thông báo "Successfully Updated". Trạng thái của đơn chuyển thành "Cancelled", số ngày nghỉ được hoàn lại cho nhân viên.</t>
        </is>
      </c>
      <c r="E22" s="52" t="inlineStr">
        <is>
          <t>Không phụ thuộc TC khác; dùng fixture setup.</t>
        </is>
      </c>
      <c r="F22" s="50" t="inlineStr">
        <is>
          <t>Untested</t>
        </is>
      </c>
      <c r="G22" s="53" t="n"/>
      <c r="H22" s="52" t="inlineStr">
        <is>
          <t>TD_LEAVE_ADMIN_05
Positive; Chuyển trạng thái
Automation: P1</t>
        </is>
      </c>
    </row>
    <row r="23" ht="140" customHeight="1">
      <c r="A23" s="47" t="inlineStr">
        <is>
          <t>TC_LEAVE_ADMIN_015</t>
        </is>
      </c>
      <c r="B23" s="47" t="inlineStr">
        <is>
          <t>Kiểm tra không thể thực hiện Approve lại đơn đã ở trạng thái Rejected</t>
        </is>
      </c>
      <c r="C23" s="47" t="inlineStr">
        <is>
          <t>Tiền điều kiện: Đơn có Status="Rejected".
Input: Đơn Rejected trong Leave List
1. Lọc đơn có trạng thái "Rejected".
2. Quan sát cột Actions của bản ghi.
Kết thúc: khôi phục fixture theo Test Data.</t>
        </is>
      </c>
      <c r="D23" s="47" t="inlineStr">
        <is>
          <t>Không có nút Approve trên dòng đơn đã Rejected. Không thể thay đổi trạng thái từ Rejected sang Approved/Scheduled.</t>
        </is>
      </c>
      <c r="E23" s="47" t="inlineStr">
        <is>
          <t>Không phụ thuộc TC khác; dùng fixture setup.</t>
        </is>
      </c>
      <c r="F23" s="50" t="inlineStr">
        <is>
          <t>Untested</t>
        </is>
      </c>
      <c r="G23" s="51" t="n"/>
      <c r="H23" s="47" t="inlineStr">
        <is>
          <t>TD_LEAVE_ADMIN_03
Negative; Chuyển trạng thái
Automation: P2</t>
        </is>
      </c>
    </row>
    <row r="24" ht="140" customHeight="1">
      <c r="A24" s="52" t="inlineStr">
        <is>
          <t>TC_LEAVE_ADMIN_016</t>
        </is>
      </c>
      <c r="B24" s="52" t="inlineStr">
        <is>
          <t>Kiểm tra không thể thực hiện Approve lại đơn đã ở trạng thái Cancelled</t>
        </is>
      </c>
      <c r="C24" s="52" t="inlineStr">
        <is>
          <t>Tiền điều kiện: Đơn có Status="Cancelled".
Input: Đơn Cancelled trong Leave List
1. Lọc đơn có trạng thái "Cancelled".
2. Quan sát các nút hành động tại cột Actions.
Kết thúc: khôi phục fixture theo Test Data.</t>
        </is>
      </c>
      <c r="D24" s="52" t="inlineStr">
        <is>
          <t>Không xuất hiện nút Approve đối với đơn đã Cancelled.</t>
        </is>
      </c>
      <c r="E24" s="52" t="inlineStr">
        <is>
          <t>Không phụ thuộc TC khác; dùng fixture setup.</t>
        </is>
      </c>
      <c r="F24" s="50" t="inlineStr">
        <is>
          <t>Untested</t>
        </is>
      </c>
      <c r="G24" s="53" t="n"/>
      <c r="H24" s="52" t="inlineStr">
        <is>
          <t>TD_LEAVE_ADMIN_03
Negative; Chuyển trạng thái
Automation: P2</t>
        </is>
      </c>
    </row>
    <row r="25" ht="140" customHeight="1">
      <c r="A25" s="47" t="inlineStr">
        <is>
          <t>TC_LEAVE_ADMIN_017</t>
        </is>
      </c>
      <c r="B25" s="47" t="inlineStr">
        <is>
          <t>Xem bình luận (View Comments) của nhân viên trên đơn nghỉ phép</t>
        </is>
      </c>
      <c r="C25" s="47" t="inlineStr">
        <is>
          <t>Tiền điều kiện: Đơn có chứa nội dung comment của nhân viên lúc nộp.
Input: Click biểu tượng 3 chấm / Comments tại dòng đơn
1. Tại dòng đơn trong Leave List, nhấp icon xem Comments.
2. Quan sát popup modal hiển thị.
Kết thúc: khôi phục fixture theo Test Data.</t>
        </is>
      </c>
      <c r="D25" s="47" t="inlineStr">
        <is>
          <t>Modal "Leave Comments" mở ra, hiển thị đầy đủ và chính xác nội dung ghi chú ban đầu của nhân viên kèm thời gian.</t>
        </is>
      </c>
      <c r="E25" s="47" t="inlineStr">
        <is>
          <t>Không phụ thuộc TC khác; dùng fixture setup.</t>
        </is>
      </c>
      <c r="F25" s="50" t="inlineStr">
        <is>
          <t>Untested</t>
        </is>
      </c>
      <c r="G25" s="51" t="n"/>
      <c r="H25" s="47" t="inlineStr">
        <is>
          <t>TD_LEAVE_ADMIN_05
Positive; Phân vùng tương đương
Automation: P2</t>
        </is>
      </c>
    </row>
    <row r="26" ht="142" customHeight="1">
      <c r="A26" s="52" t="inlineStr">
        <is>
          <t>TC_LEAVE_ADMIN_018</t>
        </is>
      </c>
      <c r="B26" s="52" t="inlineStr">
        <is>
          <t>Admin thêm bình luận ghi chú mới vào đơn nghỉ phép</t>
        </is>
      </c>
      <c r="C26" s="52" t="inlineStr">
        <is>
          <t>Tiền điều kiện: Đang mở modal Leave Comments của một đơn.
Input: Nhập Admin Comment="Đã xác nhận với trưởng bộ phận G01T01"
1. Trong modal Comments, nhập nội dung vào ô comment mới.
2. Bấm nút Save Comment.
3. Đóng và mở lại modal kiểm tra.
Kết thúc: khôi phục fixture theo Test Data.</t>
        </is>
      </c>
      <c r="D26" s="52" t="inlineStr">
        <is>
          <t>Lưu bình luận thành công. Dòng comment của Admin hiển thị trong danh sách lịch sử trao đổi của đơn với tên tài khoản Admin.</t>
        </is>
      </c>
      <c r="E26" s="52" t="inlineStr">
        <is>
          <t>Không phụ thuộc TC khác; dùng fixture setup.</t>
        </is>
      </c>
      <c r="F26" s="50" t="inlineStr">
        <is>
          <t>Untested</t>
        </is>
      </c>
      <c r="G26" s="53" t="n"/>
      <c r="H26" s="52" t="inlineStr">
        <is>
          <t>TD_LEAVE_ADMIN_05
Positive; Chuyển trạng thái
Automation: P2</t>
        </is>
      </c>
    </row>
    <row r="27" ht="142" customHeight="1">
      <c r="A27" s="47" t="inlineStr">
        <is>
          <t>TC_LEAVE_ADMIN_019</t>
        </is>
      </c>
      <c r="B27" s="47" t="inlineStr">
        <is>
          <t>Đóng modal bình luận bằng nút Cancel/Close mà không lưu</t>
        </is>
      </c>
      <c r="C27" s="47" t="inlineStr">
        <is>
          <t>Tiền điều kiện: Đang mở modal Comments.
Input: Nhập text tạm thời vào ô comment nhưng bấm Close/Cancel
1. Nhập đoạn text thử nghiệm.
2. Bấm nút Cancel hoặc icon X đóng modal.
3. Mở lại modal Comments.
Kết thúc: khôi phục fixture theo Test Data.</t>
        </is>
      </c>
      <c r="D27" s="47" t="inlineStr">
        <is>
          <t>Modal đóng lại. Đoạn text chưa lưu bị hủy bỏ, danh sách comment cũ không bị thay đổi.</t>
        </is>
      </c>
      <c r="E27" s="47" t="inlineStr">
        <is>
          <t>Không phụ thuộc TC khác; dùng fixture setup.</t>
        </is>
      </c>
      <c r="F27" s="50" t="inlineStr">
        <is>
          <t>Untested</t>
        </is>
      </c>
      <c r="G27" s="51" t="n"/>
      <c r="H27" s="47" t="inlineStr">
        <is>
          <t>TD_LEAVE_ADMIN_05
Positive; Chuyển trạng thái
Automation: P2</t>
        </is>
      </c>
    </row>
    <row r="28" ht="140" customHeight="1">
      <c r="A28" s="52" t="inlineStr">
        <is>
          <t>TC_LEAVE_ADMIN_020</t>
        </is>
      </c>
      <c r="B28" s="52" t="inlineStr">
        <is>
          <t>Chọn checkbox header để chọn tất cả các dòng trên trang Leave List</t>
        </is>
      </c>
      <c r="C28" s="52" t="inlineStr">
        <is>
          <t>Tiền điều kiện: Bảng Leave List có nhiều dòng kết quả hiển thị.
Input: Click vào checkbox ở tiêu đề bảng (header checkbox)
1. Nhấp chọn checkbox ở hàng tiêu đề (Select All).
2. Quan sát trạng thái các checkbox của từng dòng.
Kết thúc: khôi phục fixture theo Test Data.</t>
        </is>
      </c>
      <c r="D28" s="52" t="inlineStr">
        <is>
          <t>Tất cả các checkbox của toàn bộ các dòng trên trang hiện tại đều được đánh dấu tích chọn đồng loạt.</t>
        </is>
      </c>
      <c r="E28" s="52" t="inlineStr">
        <is>
          <t>Không phụ thuộc TC khác; dùng fixture setup.</t>
        </is>
      </c>
      <c r="F28" s="50" t="inlineStr">
        <is>
          <t>Untested</t>
        </is>
      </c>
      <c r="G28" s="53" t="n"/>
      <c r="H28" s="52" t="inlineStr">
        <is>
          <t>TD_LEAVE_ADMIN_05
Positive; Chuyển trạng thái
Automation: P2</t>
        </is>
      </c>
    </row>
    <row r="29" ht="140" customHeight="1">
      <c r="A29" s="47" t="inlineStr">
        <is>
          <t>TC_LEAVE_ADMIN_021</t>
        </is>
      </c>
      <c r="B29" s="47" t="inlineStr">
        <is>
          <t>Thực hiện phê duyệt hàng loạt (Bulk Approve) nhiều đơn Pending Approval</t>
        </is>
      </c>
      <c r="C29" s="47" t="inlineStr">
        <is>
          <t>Tiền điều kiện: Có ít nhất 2 đơn ở trạng thái Pending Approval.
Input: Tích chọn 2 đơn Pending Approval; bấm nút Approve chung ở thanh công cụ
1. Tích chọn checkbox của 2 đơn Pending Approval.
2. Nhấp nút Approve ở thanh thao tác hàng loạt phía trên.
3. Quan sát thông báo và tải lại danh sách.
Kết thúc: khôi phục fixture theo Test Data.</t>
        </is>
      </c>
      <c r="D29" s="47" t="inlineStr">
        <is>
          <t>Thông báo cập nhật thành công. Cả 2 đơn được chọn đều chuyển trạng thái từ "Pending Approval" sang "Scheduled".</t>
        </is>
      </c>
      <c r="E29" s="47" t="inlineStr">
        <is>
          <t>Không phụ thuộc TC khác; dùng fixture setup.</t>
        </is>
      </c>
      <c r="F29" s="50" t="inlineStr">
        <is>
          <t>Untested</t>
        </is>
      </c>
      <c r="G29" s="51" t="n"/>
      <c r="H29" s="47" t="inlineStr">
        <is>
          <t>TD_LEAVE_ADMIN_05
Integration; Bảng quyết định
Automation: P1</t>
        </is>
      </c>
    </row>
    <row r="30" ht="140" customHeight="1">
      <c r="A30" s="52" t="inlineStr">
        <is>
          <t>TC_LEAVE_ADMIN_022</t>
        </is>
      </c>
      <c r="B30" s="52" t="inlineStr">
        <is>
          <t>Thực hiện từ chối hàng loạt (Bulk Reject) nhiều đơn Pending Approval</t>
        </is>
      </c>
      <c r="C30" s="52" t="inlineStr">
        <is>
          <t>Tiền điều kiện: Có ít nhất 2 đơn ở trạng thái Pending Approval.
Input: Tích chọn 2 đơn Pending; bấm nút Reject chung
1. Tích chọn checkbox của 2 đơn Pending Approval.
2. Nhấp nút Reject ở thanh thao tác hàng loạt.
3. Quan sát kết quả cập nhật.
Kết thúc: khôi phục fixture theo Test Data.</t>
        </is>
      </c>
      <c r="D30" s="52" t="inlineStr">
        <is>
          <t>Thông báo cập nhật thành công. Tất cả các đơn được chọn đều đồng loạt chuyển trạng thái sang "Rejected".</t>
        </is>
      </c>
      <c r="E30" s="52" t="inlineStr">
        <is>
          <t>Không phụ thuộc TC khác; dùng fixture setup.</t>
        </is>
      </c>
      <c r="F30" s="50" t="inlineStr">
        <is>
          <t>Untested</t>
        </is>
      </c>
      <c r="G30" s="53" t="n"/>
      <c r="H30" s="52" t="inlineStr">
        <is>
          <t>TD_LEAVE_ADMIN_05
Integration; Bảng quyết định
Automation: P1</t>
        </is>
      </c>
    </row>
    <row r="31" ht="140" customHeight="1">
      <c r="A31" s="47" t="inlineStr">
        <is>
          <t>TC_LEAVE_ADMIN_023</t>
        </is>
      </c>
      <c r="B31" s="47" t="inlineStr">
        <is>
          <t>Kiểm tra phân trang (Pagination) trên bảng danh sách Leave List</t>
        </is>
      </c>
      <c r="C31" s="47" t="inlineStr">
        <is>
          <t>Tiền điều kiện: Tổng số đơn nghỉ phép trong hệ thống lớn hơn số dòng mặc định trên 1 trang (vd: &gt;50 bản ghi).
Input: Bấm nút chuyển trang 2 tại thanh phân trang
1. Cuộn xuống cuối bảng Leave List.
2. Bấm vào trang số 2 (hoặc nút Next).
3. Quan sát các dòng kết quả.
Kết thúc: khôi phục fixture theo Test Data.</t>
        </is>
      </c>
      <c r="D31" s="47" t="inlineStr">
        <is>
          <t>Chuyển sang trang 2 thành công, hiển thị đúng các bản ghi tiếp theo mà không bị trùng lặp với trang 1. Số thứ tự trang được đánh dấu tích cực.</t>
        </is>
      </c>
      <c r="E31" s="47" t="inlineStr">
        <is>
          <t>Không phụ thuộc TC khác; dùng fixture setup.</t>
        </is>
      </c>
      <c r="F31" s="50" t="inlineStr">
        <is>
          <t>Untested</t>
        </is>
      </c>
      <c r="G31" s="51" t="n"/>
      <c r="H31" s="47" t="inlineStr">
        <is>
          <t>TD_LEAVE_ADMIN_02
Positive; Phân vùng tương đương
Automation: P2</t>
        </is>
      </c>
    </row>
    <row r="32" ht="140" customHeight="1">
      <c r="A32" s="52" t="inlineStr">
        <is>
          <t>TC_LEAVE_ADMIN_024</t>
        </is>
      </c>
      <c r="B32" s="52" t="inlineStr">
        <is>
          <t>Kiểm tra sắp xếp (Sorting) danh sách Leave List theo cột Date</t>
        </is>
      </c>
      <c r="C32" s="52" t="inlineStr">
        <is>
          <t>Tiền điều kiện: Có các đơn với ngày nghỉ khác nhau trong danh sách.
Input: Nhấp vào icon sắp xếp tại tiêu đề cột Date
1. Nhấp icon sort tại cột Date lần 1 (tăng dần Ascending).
2. Đối chiếu thứ tự ngày các dòng.
3. Nhấp lần 2 (giảm dần Descending) và đối chiếu lại.
Kết thúc: khôi phục fixture theo Test Data.</t>
        </is>
      </c>
      <c r="D32" s="52" t="inlineStr">
        <is>
          <t>Bảng sắp xếp lại chính xác theo thứ tự thời gian tăng dần hoặc giảm dần của ngày nghỉ. Dữ liệu các cột khác tương ứng vẫn đồng bộ.</t>
        </is>
      </c>
      <c r="E32" s="52" t="inlineStr">
        <is>
          <t>Không phụ thuộc TC khác; dùng fixture setup.</t>
        </is>
      </c>
      <c r="F32" s="50" t="inlineStr">
        <is>
          <t>Untested</t>
        </is>
      </c>
      <c r="G32" s="53" t="n"/>
      <c r="H32" s="52" t="inlineStr">
        <is>
          <t>TD_LEAVE_ADMIN_02
Positive; Chuyển trạng thái
Automation: P2</t>
        </is>
      </c>
    </row>
    <row r="33" ht="140" customHeight="1">
      <c r="A33" s="47" t="inlineStr">
        <is>
          <t>TC_LEAVE_ADMIN_025</t>
        </is>
      </c>
      <c r="B33" s="47" t="inlineStr">
        <is>
          <t>Đối chiếu tính chính xác của Number of Days và Leave Balance trên từng dòng đơn</t>
        </is>
      </c>
      <c r="C33" s="47" t="inlineStr">
        <is>
          <t>Tiền điều kiện: Có đơn nghỉ phép đã lưu trong Leave List.
Input: Chọn 1 dòng đơn bất kỳ để đối chiếu dữ liệu
1. Kiểm tra From Date và To Date của đơn (vd: 3 ngày làm việc).
2. Đối chiếu cột Number of Days.
3. Đối chiếu cột Leave Balance (Days) với hạn mức gốc trừ đi số ngày đã nghỉ.
Kết thúc: khôi phục fixture theo Test Data.</t>
        </is>
      </c>
      <c r="D33" s="47" t="inlineStr">
        <is>
          <t>Cột Number of Days hiển thị đúng số ngày làm việc giữa From Date và To Date. Cột Leave Balance phản ánh chính xác số ngày dư phép còn lại của nhân viên tại thời điểm tạo đơn.</t>
        </is>
      </c>
      <c r="E33" s="47" t="inlineStr">
        <is>
          <t>Không phụ thuộc TC khác; dùng fixture setup.</t>
        </is>
      </c>
      <c r="F33" s="50" t="inlineStr">
        <is>
          <t>Untested</t>
        </is>
      </c>
      <c r="G33" s="51" t="n"/>
      <c r="H33" s="47" t="inlineStr">
        <is>
          <t>TD_LEAVE_ADMIN_05
Positive; Phân vùng tương đương
Automation: P1</t>
        </is>
      </c>
    </row>
  </sheetData>
  <mergeCells count="5">
    <mergeCell ref="F6:H6"/>
    <mergeCell ref="F5:H5"/>
    <mergeCell ref="B4:H4"/>
    <mergeCell ref="B2:H2"/>
    <mergeCell ref="B3:H3"/>
  </mergeCells>
  <conditionalFormatting sqref="F9:F33">
    <cfRule type="containsText" priority="1" operator="containsText" dxfId="0" text="Passed"/>
    <cfRule type="containsText" priority="2" operator="containsText" dxfId="1" text="Failed"/>
    <cfRule type="containsText" priority="3" operator="containsText" dxfId="2" text="Blocked"/>
    <cfRule type="containsText" priority="4" operator="containsText" dxfId="3" text="Skipped"/>
  </conditionalFormatting>
  <dataValidations count="1">
    <dataValidation sqref="F9:F33" showDropDown="0" showInputMessage="0" showErrorMessage="0" allowBlank="0" type="list">
      <formula1>"Passed,Failed,Untested,Blocked,Skipped"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40"/>
  <sheetViews>
    <sheetView showGridLines="1" workbookViewId="0">
      <pane ySplit="4" topLeftCell="A5" activePane="bottomLeft" state="frozen"/>
      <selection activeCell="A1" sqref="A1"/>
    </sheetView>
  </sheetViews>
  <sheetFormatPr baseColWidth="8" defaultRowHeight="15"/>
  <cols>
    <col width="26" customWidth="1" min="1" max="1"/>
    <col width="52" customWidth="1" min="2" max="2"/>
    <col width="62" customWidth="1" min="3" max="3"/>
    <col width="61" customWidth="1" min="4" max="4"/>
    <col width="48" customWidth="1" min="5" max="5"/>
    <col width="36" customWidth="1" min="6" max="6"/>
  </cols>
  <sheetData>
    <row r="1">
      <c r="A1" s="3" t="n"/>
      <c r="B1" s="3" t="n"/>
      <c r="C1" s="3" t="n"/>
      <c r="D1" s="3" t="n"/>
      <c r="E1" s="3" t="n"/>
      <c r="F1" s="3" t="n"/>
    </row>
    <row r="2" ht="42" customHeight="1">
      <c r="A2" s="5" t="inlineStr">
        <is>
          <t>LEAVE TEST DATA</t>
        </is>
      </c>
    </row>
    <row r="3">
      <c r="A3" s="3" t="n"/>
      <c r="B3" s="3" t="n"/>
      <c r="C3" s="3" t="n"/>
      <c r="D3" s="3" t="n"/>
      <c r="E3" s="3" t="n"/>
      <c r="F3" s="3" t="n"/>
    </row>
    <row r="4" ht="32" customHeight="1">
      <c r="A4" s="46" t="inlineStr">
        <is>
          <t>Data ID</t>
        </is>
      </c>
      <c r="B4" s="46" t="inlineStr">
        <is>
          <t>Giá trị / fixture</t>
        </is>
      </c>
      <c r="C4" s="46" t="inlineStr">
        <is>
          <t>Cách chuẩn bị</t>
        </is>
      </c>
      <c r="D4" s="46" t="inlineStr">
        <is>
          <t>Sử dụng</t>
        </is>
      </c>
      <c r="E4" s="46" t="inlineStr">
        <is>
          <t>Dọn dẹp / khôi phục</t>
        </is>
      </c>
      <c r="F4" s="46" t="inlineStr">
        <is>
          <t>Quy tắc</t>
        </is>
      </c>
    </row>
    <row r="5" ht="110" customHeight="1">
      <c r="A5" s="47" t="inlineStr">
        <is>
          <t>RUN</t>
        </is>
      </c>
      <c r="B5" s="47" t="inlineStr">
        <is>
          <t>G01T01 (tên); G1T01 (tiền tố ID)</t>
        </is>
      </c>
      <c r="C5" s="47" t="inlineStr">
        <is>
          <t>Đổi T01 thành mã lần chạy chưa dùng. Các ID và tên mẫu trong TC đổi đồng nhất. Kiểm tra không trùng trước setup.</t>
        </is>
      </c>
      <c r="D5" s="47" t="inlineStr">
        <is>
          <t>Toàn bộ 75 TC</t>
        </is>
      </c>
      <c r="E5" s="47" t="inlineStr">
        <is>
          <t>Ghi lại ID và tên Leave Type để dọn dẹp sau khi chạy.</t>
        </is>
      </c>
      <c r="F5" s="47" t="inlineStr">
        <is>
          <t>Chỉ dùng dữ liệu giả của nhóm.</t>
        </is>
      </c>
    </row>
    <row r="6" ht="110" customHeight="1">
      <c r="A6" s="47" t="inlineStr">
        <is>
          <t>ACCOUNT</t>
        </is>
      </c>
      <c r="B6" s="47" t="inlineStr">
        <is>
          <t>Admin / admin123</t>
        </is>
      </c>
      <c r="C6" s="47" t="inlineStr">
        <is>
          <t>Dùng thông tin demo hiển thị tại trang đăng nhập. Không dùng tài khoản thật.</t>
        </is>
      </c>
      <c r="D6" s="47" t="inlineStr">
        <is>
          <t>Tiền điều kiện chung</t>
        </is>
      </c>
      <c r="E6" s="47" t="inlineStr">
        <is>
          <t>Không đổi mật khẩu, không khóa tài khoản demo.</t>
        </is>
      </c>
      <c r="F6" s="47" t="inlineStr">
        <is>
          <t>Chưa có kết quả execution.</t>
        </is>
      </c>
    </row>
    <row r="7" ht="110" customHeight="1">
      <c r="A7" s="47" t="inlineStr">
        <is>
          <t>F_EMP</t>
        </is>
      </c>
      <c r="B7" s="47" t="inlineStr">
        <is>
          <t>ID=G1T01E0001; First=G01T01; Last=ThanhLeave</t>
        </is>
      </c>
      <c r="C7" s="47" t="inlineStr">
        <is>
          <t>Tạo trước run bằng Add Employee trong PIM; tạo tài khoản login nếu cần test vai trò Employee.</t>
        </is>
      </c>
      <c r="D7" s="47" t="inlineStr">
        <is>
          <t>LEAVE_CONFIG (Entitlements); LEAVE_SELF; LEAVE_ADMIN</t>
        </is>
      </c>
      <c r="E7" s="47" t="inlineStr">
        <is>
          <t>Xóa nhân viên fixture của nhóm sau khi hoàn thành và lưu bằng chứng.</t>
        </is>
      </c>
      <c r="F7" s="47" t="inlineStr">
        <is>
          <t>Nhân viên phải thực sự tồn tại.</t>
        </is>
      </c>
    </row>
    <row r="8" ht="110" customHeight="1">
      <c r="A8" s="47" t="inlineStr">
        <is>
          <t>F_TYPE</t>
        </is>
      </c>
      <c r="B8" s="47" t="inlineStr">
        <is>
          <t>Name=G01T01_Annual; Is Entitlement Situational=No</t>
        </is>
      </c>
      <c r="C8" s="47" t="inlineStr">
        <is>
          <t>Tạo trong Configure &gt; Leave Types trước khi cấp entitlement.</t>
        </is>
      </c>
      <c r="D8" s="47" t="inlineStr">
        <is>
          <t>TC_LEAVE_CONFIG_001, 007, 010, 016; toàn bộ LEAVE_SELF và ADMIN</t>
        </is>
      </c>
      <c r="E8" s="47" t="inlineStr">
        <is>
          <t>Xóa loại phép fixture của nhóm sau run.</t>
        </is>
      </c>
      <c r="F8" s="47" t="inlineStr">
        <is>
          <t>Không sửa/xóa các Leave Type mặc định có sẵn (vd: US - Vacation, CAN - FMLA).</t>
        </is>
      </c>
    </row>
    <row r="9" ht="110" customHeight="1">
      <c r="A9" s="47" t="inlineStr">
        <is>
          <t>F_TYPE_SIT</t>
        </is>
      </c>
      <c r="B9" s="47" t="inlineStr">
        <is>
          <t>Name=G01T01_Maternity; Is Entitlement Situational=Yes</t>
        </is>
      </c>
      <c r="C9" s="47" t="inlineStr">
        <is>
          <t>Tạo trong Configure &gt; Leave Types với Situational=Yes.</t>
        </is>
      </c>
      <c r="D9" s="47" t="inlineStr">
        <is>
          <t>TC_LEAVE_CONFIG_002</t>
        </is>
      </c>
      <c r="E9" s="47" t="inlineStr">
        <is>
          <t>Xóa loại phép fixture của nhóm sau run.</t>
        </is>
      </c>
      <c r="F9" s="47" t="inlineStr">
        <is>
          <t>Dùng để kiểm thử tính chất Situational.</t>
        </is>
      </c>
    </row>
    <row r="10" ht="110" customHeight="1">
      <c r="A10" s="47" t="inlineStr">
        <is>
          <t>F_ENTITLE</t>
        </is>
      </c>
      <c r="B10" s="47" t="inlineStr">
        <is>
          <t>Employee=F_EMP; Leave Type=F_TYPE; Period=2026; Days=20.00</t>
        </is>
      </c>
      <c r="C10" s="47" t="inlineStr">
        <is>
          <t>Thêm trong Entitlements &gt; Add Entitlements trước khi chạy các case Apply Leave.</t>
        </is>
      </c>
      <c r="D10" s="47" t="inlineStr">
        <is>
          <t>Toàn bộ LEAVE_SELF và LEAVE_ADMIN</t>
        </is>
      </c>
      <c r="E10" s="47" t="inlineStr">
        <is>
          <t>Khôi phục hạn mức ban đầu sau các ca test nộp đơn.</t>
        </is>
      </c>
      <c r="F10" s="47" t="inlineStr">
        <is>
          <t>Đảm bảo số dư phép đủ cho các đợt apply.</t>
        </is>
      </c>
    </row>
    <row r="11" ht="110" customHeight="1">
      <c r="A11" s="47" t="inlineStr">
        <is>
          <t>F_REQ_PEND</t>
        </is>
      </c>
      <c r="B11" s="47" t="inlineStr">
        <is>
          <t>Đơn nghỉ phép của F_EMP; ngày 2026-11-10 đến 2026-11-10 (1 ngày); Status=Pending Approval</t>
        </is>
      </c>
      <c r="C11" s="47" t="inlineStr">
        <is>
          <t>Nộp trước qua Apply Leave hoặc fixture setup.</t>
        </is>
      </c>
      <c r="D11" s="47" t="inlineStr">
        <is>
          <t>LEAVE_ADMIN (Approve/Reject); LEAVE_SELF_022</t>
        </is>
      </c>
      <c r="E11" s="47" t="inlineStr">
        <is>
          <t>Dọn dẹp bản ghi đơn sau test.</t>
        </is>
      </c>
      <c r="F11" s="47" t="inlineStr">
        <is>
          <t>Mỗi nhánh kiểm thử trạng thái dùng đơn riêng.</t>
        </is>
      </c>
    </row>
    <row r="12" ht="110" customHeight="1">
      <c r="A12" s="47" t="inlineStr">
        <is>
          <t>F_REQ_SCHED</t>
        </is>
      </c>
      <c r="B12" s="47" t="inlineStr">
        <is>
          <t>Đơn nghỉ phép của F_EMP; ngày 2026-12-01 đến 2026-12-02 (2 ngày); Status=Scheduled</t>
        </is>
      </c>
      <c r="C12" s="47" t="inlineStr">
        <is>
          <t>Nộp và Approve trước qua Admin để đạt trạng thái Scheduled.</t>
        </is>
      </c>
      <c r="D12" s="47" t="inlineStr">
        <is>
          <t>LEAVE_SELF_023; LEAVE_ADMIN_014</t>
        </is>
      </c>
      <c r="E12" s="47" t="inlineStr">
        <is>
          <t>Dọn dẹp bản ghi sau test.</t>
        </is>
      </c>
      <c r="F12" s="47" t="inlineStr">
        <is>
          <t>Đơn Scheduled dùng để test Cancel.</t>
        </is>
      </c>
    </row>
    <row r="13" ht="110" customHeight="1">
      <c r="A13" s="47" t="inlineStr">
        <is>
          <t>F_FILTER_A / B</t>
        </is>
      </c>
      <c r="B13" s="47" t="inlineStr">
        <is>
          <t>Hai đơn nghỉ phép của 2 nhân viên khác nhau (F_EMP và F_EMP_B) thuộc 2 Sub Unit khác nhau</t>
        </is>
      </c>
      <c r="C13" s="47" t="inlineStr">
        <is>
          <t>Tạo trước 2 nhân viên và nộp đơn riêng biệt; ghi nhận nhãn Sub Unit thực tế trên UI.</t>
        </is>
      </c>
      <c r="D13" s="47" t="inlineStr">
        <is>
          <t>TC_LEAVE_ADMIN_001, 003, 004</t>
        </is>
      </c>
      <c r="E13" s="47" t="inlineStr">
        <is>
          <t>Khôi phục và xóa 2 fixture sau run.</t>
        </is>
      </c>
      <c r="F13" s="47" t="inlineStr">
        <is>
          <t>Kiểm tra tính độc lập và chính xác của bộ lọc.</t>
        </is>
      </c>
    </row>
    <row r="14" ht="110" customHeight="1">
      <c r="A14" s="47" t="inlineStr">
        <is>
          <t>NAME_50</t>
        </is>
      </c>
      <c r="B14" s="47" t="inlineStr">
        <is>
          <t>G01T01_AAAAAAAAAAAAAAAAAAAAAAAAAAAAAAAAAAAAAAAAAAAA (50 ký tự)</t>
        </is>
      </c>
      <c r="C14" s="47" t="inlineStr">
        <is>
          <t>Chuỗi đúng 50 ký tự, không chứa ký tự cấm.</t>
        </is>
      </c>
      <c r="D14" s="47" t="inlineStr">
        <is>
          <t>TC_LEAVE_CONFIG_005</t>
        </is>
      </c>
      <c r="E14" s="47" t="inlineStr">
        <is>
          <t>Xóa loại phép sau test.</t>
        </is>
      </c>
      <c r="F14" s="47" t="inlineStr">
        <is>
          <t>Biên tối đa 50 ký tự theo quy định hệ thống.</t>
        </is>
      </c>
    </row>
    <row r="15" ht="110" customHeight="1">
      <c r="A15" s="47" t="inlineStr">
        <is>
          <t>NAME_51</t>
        </is>
      </c>
      <c r="B15" s="47" t="inlineStr">
        <is>
          <t>G01T01_AAAAAAAAAAAAAAAAAAAAAAAAAAAAAAAAAAAAAAAAAAAAA (51 ký tự)</t>
        </is>
      </c>
      <c r="C15" s="47" t="inlineStr">
        <is>
          <t>Chuỗi 51 ký tự. Kiểm tra validation hoặc maxlength.</t>
        </is>
      </c>
      <c r="D15" s="47" t="inlineStr">
        <is>
          <t>TC_LEAVE_CONFIG_006</t>
        </is>
      </c>
      <c r="E15" s="47" t="inlineStr">
        <is>
          <t>Không lưu vào hệ thống.</t>
        </is>
      </c>
      <c r="F15" s="47" t="inlineStr">
        <is>
          <t>Vượt biên 50 ký tự.</t>
        </is>
      </c>
    </row>
    <row r="16" ht="110" customHeight="1">
      <c r="A16" s="47" t="inlineStr">
        <is>
          <t>COMM_250</t>
        </is>
      </c>
      <c r="B16" s="47" t="inlineStr">
        <is>
          <t>Chuỗi 250 ký tự chữ và số lặp lại hợp lệ</t>
        </is>
      </c>
      <c r="C16" s="47" t="inlineStr">
        <is>
          <t>Tạo chuỗi đúng 250 ký tự không xuống dòng.</t>
        </is>
      </c>
      <c r="D16" s="47" t="inlineStr">
        <is>
          <t>TC_LEAVE_SELF_014</t>
        </is>
      </c>
      <c r="E16" s="47" t="inlineStr">
        <is>
          <t>Không giữ ghi chú rác sau test.</t>
        </is>
      </c>
      <c r="F16" s="47" t="inlineStr">
        <is>
          <t>Biên tối đa của Comments.</t>
        </is>
      </c>
    </row>
    <row r="17" ht="110" customHeight="1">
      <c r="A17" s="47" t="inlineStr">
        <is>
          <t>COMM_251</t>
        </is>
      </c>
      <c r="B17" s="47" t="inlineStr">
        <is>
          <t>Chuỗi 251 ký tự chữ và số lặp lại</t>
        </is>
      </c>
      <c r="C17" s="47" t="inlineStr">
        <is>
          <t>Tạo chuỗi đúng 251 ký tự.</t>
        </is>
      </c>
      <c r="D17" s="47" t="inlineStr">
        <is>
          <t>TC_LEAVE_SELF_015</t>
        </is>
      </c>
      <c r="E17" s="47" t="inlineStr">
        <is>
          <t>Không lưu vào hệ thống.</t>
        </is>
      </c>
      <c r="F17" s="47" t="inlineStr">
        <is>
          <t>Vượt biên 250 ký tự.</t>
        </is>
      </c>
    </row>
    <row r="18" ht="110" customHeight="1">
      <c r="A18" s="47" t="inlineStr">
        <is>
          <t>DATES</t>
        </is>
      </c>
      <c r="B18" s="47" t="inlineStr">
        <is>
          <t>2026-11-10 đến 2026-11-12; 2026-12-01 đến 2026-12-02</t>
        </is>
      </c>
      <c r="C18" s="47" t="inlineStr">
        <is>
          <t>Nhập theo định dạng hiển thị thực tế trên UI (yyyy-dd-mm hoặc yyyy-mm-dd).</t>
        </is>
      </c>
      <c r="D18" s="47" t="inlineStr">
        <is>
          <t>Toàn bộ Apply và Leave List</t>
        </is>
      </c>
      <c r="E18" s="47" t="inlineStr">
        <is>
          <t>Ghi nhận và khôi phục ngày sau run.</t>
        </is>
      </c>
      <c r="F18" s="47" t="inlineStr">
        <is>
          <t>Không để ngày động gây sai lệch kết quả.</t>
        </is>
      </c>
    </row>
    <row r="19" ht="110" customHeight="1">
      <c r="A19" s="47" t="inlineStr">
        <is>
          <t>RESTORE</t>
        </is>
      </c>
      <c r="B19" s="47" t="inlineStr">
        <is>
          <t>Quy tắc khôi phục và dọn dẹp sau từng ca kiểm thử</t>
        </is>
      </c>
      <c r="C19" s="47" t="inlineStr">
        <is>
          <t>Lưu lại baseline trước khi chạy. Trước mỗi ca test, đưa form và dữ liệu về trạng thái tiền điều kiện ban đầu.</t>
        </is>
      </c>
      <c r="D19" s="47" t="inlineStr">
        <is>
          <t>Đảm bảo độc lập giữa các TC</t>
        </is>
      </c>
      <c r="E19" s="47" t="inlineStr">
        <is>
          <t>Chỉ xóa và sửa dữ liệu do nhóm tạo ra (có tiền tố G01T01).</t>
        </is>
      </c>
      <c r="F19" s="47" t="inlineStr">
        <is>
          <t>Tuyệt đối không can thiệp vào dữ liệu của người khác.</t>
        </is>
      </c>
    </row>
    <row r="20" ht="110" customHeight="1">
      <c r="A20" s="47" t="inlineStr">
        <is>
          <t>STATUS</t>
        </is>
      </c>
      <c r="B20" s="47" t="inlineStr">
        <is>
          <t>Passed, Failed, Untested, Blocked, Skipped</t>
        </is>
      </c>
      <c r="C20" s="47" t="inlineStr">
        <is>
          <t>Passed: mọi expected được kiểm chứng đúng. Failed: có ít nhất 1 expected sai. Blocked: lỗi môi trường/tiền điều kiện.</t>
        </is>
      </c>
      <c r="D20" s="47" t="inlineStr">
        <is>
          <t>Cột Result và Test Report</t>
        </is>
      </c>
      <c r="E20" s="47" t="inlineStr">
        <is>
          <t>Untested: chưa chạy. Skipped: chủ động không chạy kèm lý do.</t>
        </is>
      </c>
      <c r="F20" s="47" t="inlineStr">
        <is>
          <t>Chỉ cập nhật Result khi thực thi thật.</t>
        </is>
      </c>
    </row>
    <row r="21" ht="110" customHeight="1">
      <c r="A21" s="47" t="inlineStr">
        <is>
          <t>EVIDENCE</t>
        </is>
      </c>
      <c r="B21" s="47" t="inlineStr">
        <is>
          <t>Case ID; actual; thời gian; browser/version; đường dẫn screenshot/log</t>
        </is>
      </c>
      <c r="C21" s="47" t="inlineStr">
        <is>
          <t>Ghi nhật ký thực tế và ảnh chụp màn hình khi chạy test automation hoặc manual.</t>
        </is>
      </c>
      <c r="D21" s="47" t="inlineStr">
        <is>
          <t>Tất cả các TC đã thực thi</t>
        </is>
      </c>
      <c r="E21" s="47" t="inlineStr">
        <is>
          <t>Không tạo link hoặc dữ liệu minh chứng giả.</t>
        </is>
      </c>
      <c r="F21" s="47" t="inlineStr">
        <is>
          <t>Phân biệt rõ lỗi do script hay lỗi của ứng dụng demo.</t>
        </is>
      </c>
    </row>
    <row r="22" ht="110" customHeight="1">
      <c r="A22" s="47" t="inlineStr">
        <is>
          <t>BASELINE</t>
        </is>
      </c>
      <c r="B22" s="47" t="inlineStr">
        <is>
          <t>OrangeHRM Open Source 5.9; ngày phân tích 21/10/2026</t>
        </is>
      </c>
      <c r="C22" s="47" t="inlineStr">
        <is>
          <t>Đối chiếu trực tiếp trên hệ thống demo và mã nguồn client OrangeHRM 5.9.</t>
        </is>
      </c>
      <c r="D22" s="47" t="inlineStr">
        <is>
          <t>Độ dài trường, validation, quy trình phê duyệt Leave</t>
        </is>
      </c>
      <c r="E22" s="47" t="inlineStr">
        <is>
          <t>Môi trường demo công khai có thể bị reset định kỳ.</t>
        </is>
      </c>
      <c r="F22" s="47" t="inlineStr">
        <is>
          <t>Kiểm thử chức năng an toàn; không pentest, không load test.</t>
        </is>
      </c>
    </row>
    <row r="23" ht="110" customHeight="1">
      <c r="A23" s="59" t="n"/>
      <c r="B23" s="59" t="n"/>
      <c r="C23" s="59" t="n"/>
      <c r="D23" s="59" t="n"/>
      <c r="E23" s="59" t="n"/>
      <c r="F23" s="59" t="n"/>
    </row>
    <row r="24" ht="110" customHeight="1">
      <c r="A24" s="54" t="inlineStr">
        <is>
          <t>Nguồn chính thức</t>
        </is>
      </c>
      <c r="B24" s="54" t="inlineStr">
        <is>
          <t>URL</t>
        </is>
      </c>
      <c r="C24" s="54" t="inlineStr">
        <is>
          <t>Nội dung đối chiếu</t>
        </is>
      </c>
      <c r="D24" s="3" t="inlineStr">
        <is>
          <t>Độ dài, validation, contract và attachments</t>
        </is>
      </c>
      <c r="E24" s="3" t="inlineStr">
        <is>
          <t>Demo công khai có thể reset và bị người khác thay đổi.</t>
        </is>
      </c>
      <c r="F24" s="3" t="inlineStr">
        <is>
          <t>Kiểm thử chức năng, không scan bảo mật hay load test.</t>
        </is>
      </c>
    </row>
    <row r="25" ht="110" customHeight="1">
      <c r="A25" s="47" t="inlineStr">
        <is>
          <t>Website Demo</t>
        </is>
      </c>
      <c r="B25" s="47" t="inlineStr">
        <is>
          <t>https://opensource-demo.orangehrmlive.com/</t>
        </is>
      </c>
      <c r="C25" s="47" t="inlineStr">
        <is>
          <t>Giao diện thực tế môi trường kiểm thử OrangeHRM OS 5.9</t>
        </is>
      </c>
      <c r="D25" s="3" t="inlineStr">
        <is>
          <t>Add Employee: chuỗi biên, ID, ảnh và validation</t>
        </is>
      </c>
      <c r="E25" s="3" t="inlineStr">
        <is>
          <t>Sau case, xóa riêng nhân viên đã tạo sau khi giữ bằng chứng.</t>
        </is>
      </c>
      <c r="F25" s="3" t="inlineStr">
        <is>
          <t>Giá trị nêu riêng trong TC được ưu tiên.</t>
        </is>
      </c>
    </row>
    <row r="26">
      <c r="A26" s="47" t="inlineStr">
        <is>
          <t>LEAVE_CONFIG - Leave Types</t>
        </is>
      </c>
      <c r="B26" s="47" t="inlineStr">
        <is>
          <t>https://github.com/orangehrm/orangehrm/blob/v5.9/src/client/src/orangehrmLeavePlugin/pages/leaveType/SaveLeaveType.vue</t>
        </is>
      </c>
      <c r="C26" s="47" t="inlineStr">
        <is>
          <t>Tên bắt buộc, giới hạn độ dài 50 ký tự, kiểm tra trùng lặp và tính chất Situational</t>
        </is>
      </c>
      <c r="D26" s="3" t="n"/>
      <c r="E26" s="3" t="n"/>
      <c r="F26" s="3" t="n"/>
    </row>
    <row r="27">
      <c r="A27" s="55" t="inlineStr">
        <is>
          <t>LEAVE_CONFIG - Entitlements</t>
        </is>
      </c>
      <c r="B27" s="55" t="inlineStr">
        <is>
          <t>https://github.com/orangehrm/orangehrm/blob/v5.9/src/client/src/orangehrmLeavePlugin/pages/entitlement/AddEntitlement.vue</t>
        </is>
      </c>
      <c r="C27" s="55" t="inlineStr">
        <is>
          <t>Cấp hạn mức cá nhân/hàng loạt, autocomplete nhân viên, định dạng số thập phân</t>
        </is>
      </c>
      <c r="D27" s="13" t="str"/>
      <c r="E27" s="13" t="str"/>
      <c r="F27" s="13" t="str"/>
    </row>
    <row r="28" ht="70" customHeight="1">
      <c r="A28" s="47" t="inlineStr">
        <is>
          <t>LEAVE_SELF - Apply Leave</t>
        </is>
      </c>
      <c r="B28" s="47" t="inlineStr">
        <is>
          <t>https://github.com/orangehrm/orangehrm/blob/v5.9/src/client/src/orangehrmLeavePlugin/pages/apply/ApplyLeave.vue</t>
        </is>
      </c>
      <c r="C28" s="47" t="inlineStr">
        <is>
          <t>Chọn loại phép, tính toán Leave Balance, kiểm tra khoảng ngày, giới hạn Comments và lỗi Overlapping Request</t>
        </is>
      </c>
      <c r="D28" s="3" t="n"/>
      <c r="E28" s="3" t="n"/>
      <c r="F28" s="3" t="n"/>
    </row>
    <row r="29" ht="70" customHeight="1">
      <c r="A29" s="47" t="inlineStr">
        <is>
          <t>LEAVE_SELF / ADMIN - Leave List</t>
        </is>
      </c>
      <c r="B29" s="47" t="inlineStr">
        <is>
          <t>https://github.com/orangehrm/orangehrm/blob/v5.9/src/client/src/orangehrmLeavePlugin/pages/leave/LeaveList.vue</t>
        </is>
      </c>
      <c r="C29" s="47" t="inlineStr">
        <is>
          <t>Bộ lọc tìm kiếm đa điều kiện, chuyển trạng thái Pending Approval -&gt; Scheduled / Rejected / Cancelled, thao tác hàng loạt</t>
        </is>
      </c>
      <c r="D29" s="3" t="n"/>
      <c r="E29" s="3" t="n"/>
      <c r="F29" s="3" t="n"/>
    </row>
    <row r="30" ht="70" customHeight="1">
      <c r="A30" s="47" t="inlineStr">
        <is>
          <t>Validation Rules</t>
        </is>
      </c>
      <c r="B30" s="47" t="inlineStr">
        <is>
          <t>https://github.com/orangehrm/orangehrm/blob/v5.9/src/client/src/core/util/validation/rules.ts</t>
        </is>
      </c>
      <c r="C30" s="47" t="inlineStr">
        <is>
          <t>Quy tắc kiểm tra dữ liệu: bắt buộc (required), kiểm tra ngày hợp lệ, ngày kết thúc sau ngày bắt đầu, khoảng trắng</t>
        </is>
      </c>
      <c r="D30" s="3" t="n"/>
      <c r="E30" s="3" t="n"/>
      <c r="F30" s="3" t="n"/>
    </row>
    <row r="31" ht="70" customHeight="1">
      <c r="A31" s="59" t="n"/>
      <c r="B31" s="59" t="n"/>
      <c r="C31" s="59" t="n"/>
      <c r="D31" s="59" t="n"/>
      <c r="E31" s="59" t="n"/>
      <c r="F31" s="59" t="n"/>
    </row>
    <row r="32" ht="70" customHeight="1">
      <c r="A32" s="59" t="n"/>
      <c r="B32" s="59" t="n"/>
      <c r="C32" s="59" t="n"/>
      <c r="D32" s="59" t="n"/>
      <c r="E32" s="59" t="n"/>
      <c r="F32" s="59" t="n"/>
    </row>
    <row r="33" ht="70" customHeight="1">
      <c r="A33" s="59" t="n"/>
      <c r="B33" s="59" t="n"/>
      <c r="C33" s="59" t="n"/>
      <c r="D33" s="59" t="n"/>
      <c r="E33" s="59" t="n"/>
      <c r="F33" s="59" t="n"/>
    </row>
    <row r="34">
      <c r="A34" s="59" t="n"/>
      <c r="B34" s="59" t="n"/>
      <c r="C34" s="59" t="n"/>
      <c r="D34" s="59" t="n"/>
      <c r="E34" s="59" t="n"/>
      <c r="F34" s="59" t="n"/>
    </row>
    <row r="35">
      <c r="A35" s="59" t="n"/>
      <c r="B35" s="59" t="n"/>
      <c r="C35" s="59" t="n"/>
      <c r="D35" s="59" t="n"/>
      <c r="E35" s="59" t="n"/>
      <c r="F35" s="59" t="n"/>
    </row>
    <row r="36">
      <c r="A36" s="59" t="n"/>
      <c r="B36" s="59" t="n"/>
      <c r="C36" s="59" t="n"/>
      <c r="D36" s="59" t="n"/>
      <c r="E36" s="59" t="n"/>
      <c r="F36" s="59" t="n"/>
    </row>
    <row r="37">
      <c r="A37" s="59" t="n"/>
      <c r="B37" s="59" t="n"/>
      <c r="C37" s="59" t="n"/>
      <c r="D37" s="59" t="n"/>
      <c r="E37" s="59" t="n"/>
      <c r="F37" s="59" t="n"/>
    </row>
    <row r="38">
      <c r="A38" s="59" t="n"/>
      <c r="B38" s="59" t="n"/>
      <c r="C38" s="59" t="n"/>
      <c r="D38" s="59" t="n"/>
      <c r="E38" s="59" t="n"/>
      <c r="F38" s="59" t="n"/>
    </row>
    <row r="39">
      <c r="A39" s="59" t="n"/>
      <c r="B39" s="59" t="n"/>
      <c r="C39" s="59" t="n"/>
      <c r="D39" s="59" t="n"/>
      <c r="E39" s="59" t="n"/>
      <c r="F39" s="59" t="n"/>
    </row>
    <row r="40">
      <c r="A40" s="59" t="n"/>
      <c r="B40" s="59" t="n"/>
      <c r="C40" s="59" t="n"/>
      <c r="D40" s="59" t="n"/>
      <c r="E40" s="59" t="n"/>
      <c r="F40" s="59" t="n"/>
    </row>
  </sheetData>
  <mergeCells count="1">
    <mergeCell ref="A2:F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20"/>
  <sheetViews>
    <sheetView showGridLines="1" workbookViewId="0">
      <pane ySplit="4" topLeftCell="A5" activePane="bottomLeft" state="frozen"/>
      <selection activeCell="A1" sqref="A1"/>
    </sheetView>
  </sheetViews>
  <sheetFormatPr baseColWidth="8" defaultRowHeight="15"/>
  <cols>
    <col width="9" customWidth="1" min="1" max="1"/>
    <col width="28" customWidth="1" min="2" max="2"/>
    <col width="70" customWidth="1" min="3" max="3"/>
    <col width="62" customWidth="1" min="4" max="4"/>
    <col width="38" customWidth="1" min="5" max="5"/>
    <col width="20" customWidth="1" min="6" max="6"/>
  </cols>
  <sheetData>
    <row r="1">
      <c r="A1" s="3" t="n"/>
      <c r="B1" s="3" t="n"/>
      <c r="C1" s="3" t="n"/>
      <c r="D1" s="3" t="n"/>
      <c r="E1" s="3" t="n"/>
      <c r="F1" s="3" t="n"/>
    </row>
    <row r="2" ht="42" customHeight="1">
      <c r="A2" s="5" t="inlineStr">
        <is>
          <t>AUTOMATION PLAN</t>
        </is>
      </c>
    </row>
    <row r="3">
      <c r="A3" s="3" t="n"/>
      <c r="B3" s="3" t="n"/>
      <c r="C3" s="3" t="n"/>
      <c r="D3" s="3" t="n"/>
      <c r="E3" s="3" t="n"/>
      <c r="F3" s="3" t="n"/>
    </row>
    <row r="4">
      <c r="A4" s="46" t="inlineStr">
        <is>
          <t>No.</t>
        </is>
      </c>
      <c r="B4" s="46" t="inlineStr">
        <is>
          <t>Giai đoạn</t>
        </is>
      </c>
      <c r="C4" s="46" t="inlineStr">
        <is>
          <t>Công việc</t>
        </is>
      </c>
      <c r="D4" s="46" t="inlineStr">
        <is>
          <t>Assertion / bằng chứng</t>
        </is>
      </c>
      <c r="E4" s="46" t="inlineStr">
        <is>
          <t>Phạm vi / điều kiện</t>
        </is>
      </c>
      <c r="F4" s="46" t="inlineStr">
        <is>
          <t>Trạng thái</t>
        </is>
      </c>
    </row>
    <row r="5" ht="104" customHeight="1">
      <c r="A5" s="47" t="n">
        <v>1</v>
      </c>
      <c r="B5" s="47" t="inlineStr">
        <is>
          <t>Chuẩn bị môi trường</t>
        </is>
      </c>
      <c r="C5" s="47" t="inlineStr">
        <is>
          <t>Xác nhận URL demo, phiên bản OrangeHRM OS 5.9, đăng nhập Admin; thiết lập tiền tố chạy G01T01; ghi nhận browser và version.</t>
        </is>
      </c>
      <c r="D5" s="47" t="inlineStr">
        <is>
          <t>Mở được phân hệ Leave; có quyền thêm Leave Type, Entitlement và duyệt đơn.</t>
        </is>
      </c>
      <c r="E5" s="47" t="inlineStr">
        <is>
          <t>Không sử dụng thông tin cá nhân thật.</t>
        </is>
      </c>
      <c r="F5" s="47" t="inlineStr">
        <is>
          <t>Chưa thực hiện</t>
        </is>
      </c>
    </row>
    <row r="6" ht="104" customHeight="1">
      <c r="A6" s="47" t="n">
        <v>2</v>
      </c>
      <c r="B6" s="47" t="inlineStr">
        <is>
          <t>Chuẩn bị test data</t>
        </is>
      </c>
      <c r="C6" s="47" t="inlineStr">
        <is>
          <t>Tạo nhân viên F_EMP, tạo Leave Type F_TYPE, nạp hạn mức F_ENTITLE (20 ngày), chuẩn bị các đơn mẫu Pending và Scheduled.</t>
        </is>
      </c>
      <c r="D6" s="47" t="inlineStr">
        <is>
          <t>Đối chiếu Employee ID, Leave Type name, số dư Leave Balance trên UI.</t>
        </is>
      </c>
      <c r="E6" s="47" t="inlineStr">
        <is>
          <t>Kiểm tra không bị trùng tên trước khi chạy.</t>
        </is>
      </c>
      <c r="F6" s="47" t="inlineStr">
        <is>
          <t>Chưa thực hiện</t>
        </is>
      </c>
    </row>
    <row r="7" ht="104" customHeight="1">
      <c r="A7" s="47" t="n">
        <v>3</v>
      </c>
      <c r="B7" s="47" t="inlineStr">
        <is>
          <t>Smoke / khả thi</t>
        </is>
      </c>
      <c r="C7" s="47" t="inlineStr">
        <is>
          <t>Viết kịch bản tự động hóa smoke: tạo 1 Leave Type mới và nộp 1 đơn xin nghỉ phép hợp lệ; chạy kiểm tra với Playwright.</t>
        </is>
      </c>
      <c r="D7" s="47" t="inlineStr">
        <is>
          <t>Assertion dữ liệu lưu đúng sau khi tải lại trang; không chỉ dựa vào thao tác click/fill hoàn tất.</t>
        </is>
      </c>
      <c r="E7" s="47" t="inlineStr">
        <is>
          <t>Chạy thử nghiệm trên Chromium headless và headed.</t>
        </is>
      </c>
      <c r="F7" s="47" t="inlineStr">
        <is>
          <t>Chưa thực hiện</t>
        </is>
      </c>
    </row>
    <row r="8" ht="104" customHeight="1">
      <c r="A8" s="47" t="n">
        <v>4</v>
      </c>
      <c r="B8" s="47" t="inlineStr">
        <is>
          <t>Tổ chức suite</t>
        </is>
      </c>
      <c r="C8" s="47" t="inlineStr">
        <is>
          <t>Tạo 3 test suite: leave_config.spec.ts, leave_self.spec.ts, leave_admin.spec.ts theo mã chức năng và ID workbook. Tách biệt setup và teardown.</t>
        </is>
      </c>
      <c r="D8" s="47" t="inlineStr">
        <is>
          <t>Mỗi test case độc lập, có thể chạy riêng lẻ mà không bị phụ thuộc thứ tự chạy của case trước.</t>
        </is>
      </c>
      <c r="E8" s="47" t="inlineStr">
        <is>
          <t>Không lấy dữ liệu đầu ra ngầm của test case trước làm tiền điều kiện.</t>
        </is>
      </c>
      <c r="F8" s="47" t="inlineStr">
        <is>
          <t>Chưa thực hiện</t>
        </is>
      </c>
    </row>
    <row r="9" ht="104" customHeight="1">
      <c r="A9" s="47" t="n">
        <v>5</v>
      </c>
      <c r="B9" s="47" t="inlineStr">
        <is>
          <t>Ưu tiên P1</t>
        </is>
      </c>
      <c r="C9" s="47" t="inlineStr">
        <is>
          <t>Tự động hóa các ca kiểm thử P1: Validation bắt buộc, thêm Leave Type, cấp Entitlement, Apply Leave hợp lệ, Approve và Reject đơn.</t>
        </is>
      </c>
      <c r="D9" s="47" t="inlineStr">
        <is>
          <t>expect(locator).toBeVisible(), expect(locator).toHaveText() tại các thông báo lỗi và giá trị hiển thị.</t>
        </is>
      </c>
      <c r="E9" s="47" t="inlineStr">
        <is>
          <t>Sử dụng data-driven qua file JSON/CSV cho các bộ dữ liệu tương đương.</t>
        </is>
      </c>
      <c r="F9" s="47" t="inlineStr">
        <is>
          <t>Chưa thực hiện</t>
        </is>
      </c>
    </row>
    <row r="10" ht="104" customHeight="1">
      <c r="A10" s="47" t="n">
        <v>6</v>
      </c>
      <c r="B10" s="47" t="inlineStr">
        <is>
          <t>Ưu tiên P2</t>
        </is>
      </c>
      <c r="C10" s="47" t="inlineStr">
        <is>
          <t>Tự động hóa các ca kiểm thử P2: Biên độ dài tên/comments, lọc đa trạng thái, phân trang, sắp xếp và thao tác hàng loạt (Bulk actions).</t>
        </is>
      </c>
      <c r="D10" s="47" t="inlineStr">
        <is>
          <t>Kiểm tra số lượng bản ghi hiển thị, thứ tự sắp xếp theo ngày và cập nhật trạng thái đồng loạt.</t>
        </is>
      </c>
      <c r="E10" s="47" t="inlineStr">
        <is>
          <t>Nếu thao tác autocomplete hoặc date picker không ổn định, tối ưu locator hoặc kiểm thử thủ công có ghi chú.</t>
        </is>
      </c>
      <c r="F10" s="47" t="inlineStr">
        <is>
          <t>Chưa thực hiện</t>
        </is>
      </c>
    </row>
    <row r="11" ht="104" customHeight="1">
      <c r="A11" s="47" t="n">
        <v>7</v>
      </c>
      <c r="B11" s="47" t="inlineStr">
        <is>
          <t>Locator và đồng bộ</t>
        </is>
      </c>
      <c r="C11" s="47" t="inlineStr">
        <is>
          <t>Ưu tiên locator theo role, label, text (getByRole, getByLabel); sử dụng auto-wait của Playwright; tránh dùng XPath tuyệt đối hoặc hard sleep.</t>
        </is>
      </c>
      <c r="D11" s="47" t="inlineStr">
        <is>
          <t>Đúng nút Save của từng form; đúng nút hành động tại từng dòng bản ghi trong bảng.</t>
        </is>
      </c>
      <c r="E11" s="47" t="inlineStr">
        <is>
          <t>Đảm bảo test script chạy ổn định trên mạng chậm.</t>
        </is>
      </c>
      <c r="F11" s="47" t="inlineStr">
        <is>
          <t>Chưa thực hiện</t>
        </is>
      </c>
    </row>
    <row r="12" ht="104" customHeight="1">
      <c r="A12" s="47" t="n">
        <v>8</v>
      </c>
      <c r="B12" s="47" t="inlineStr">
        <is>
          <t>Chạy và ghi kết quả</t>
        </is>
      </c>
      <c r="C12" s="47" t="inlineStr">
        <is>
          <t>Thực thi smoke suite, sau đó chạy toàn bộ test suite. Xuất báo cáo HTML report, lưu trace, screenshot và log khi có ca kiểm thử thất bại.</t>
        </is>
      </c>
      <c r="D12" s="47" t="inlineStr">
        <is>
          <t>So sánh actual result với expected output. Nếu Failed, phân loại rõ lỗi script, lỗi môi trường hay lỗi ứng dụng.</t>
        </is>
      </c>
      <c r="E12" s="47" t="inlineStr">
        <is>
          <t>Chưa có số liệu thời gian hay tỷ lệ pass thực tế trước khi thực thi.</t>
        </is>
      </c>
      <c r="F12" s="47" t="inlineStr">
        <is>
          <t>Chưa thực hiện</t>
        </is>
      </c>
    </row>
    <row r="13" ht="104" customHeight="1">
      <c r="A13" s="47" t="n">
        <v>9</v>
      </c>
      <c r="B13" s="47" t="inlineStr">
        <is>
          <t>Dọn dẹp và regression</t>
        </is>
      </c>
      <c r="C13" s="47" t="inlineStr">
        <is>
          <t>Dọn dẹp và khôi phục fixture sau từng ca kiểm thử; xóa các Leave Type và dữ liệu do nhóm tạo ra sau khi đã lưu đầy đủ bằng chứng.</t>
        </is>
      </c>
      <c r="D13" s="47" t="inlineStr">
        <is>
          <t>Không xóa hoặc làm ảnh hưởng đến dữ liệu của các nhóm khác trên môi trường demo dùng chung.</t>
        </is>
      </c>
      <c r="E13" s="47" t="inlineStr">
        <is>
          <t>Môi trường demo có thể bị reset; thực hiện kiểm tra lại sau khi reset.</t>
        </is>
      </c>
      <c r="F13" s="47" t="inlineStr">
        <is>
          <t>Chưa thực hiện</t>
        </is>
      </c>
    </row>
    <row r="14" ht="104" customHeight="1">
      <c r="A14" s="47" t="n">
        <v>10</v>
      </c>
      <c r="B14" s="47" t="inlineStr">
        <is>
          <t>Review và Git</t>
        </is>
      </c>
      <c r="C14" s="47" t="inlineStr">
        <is>
          <t>Tự review 75 test cases; commit file Excel cá nhân vào nhánh riêng (thanh/asm6-leave); tạo Pull Request vào nhánh dev để nhóm trưởng review.</t>
        </is>
      </c>
      <c r="D14" s="47" t="inlineStr">
        <is>
          <t>File Excel đúng tên quy chuẩn; ảnh bằng chứng push/merge trung thực; nhóm trưởng tổng hợp vào bản chung sau review.</t>
        </is>
      </c>
      <c r="E14" s="47" t="inlineStr">
        <is>
          <t>Không đánh dấu Passed cho những test case chưa thực thi thực tế.</t>
        </is>
      </c>
      <c r="F14" s="47" t="inlineStr">
        <is>
          <t>Chưa thực hiện</t>
        </is>
      </c>
    </row>
    <row r="15">
      <c r="A15" s="3" t="n"/>
      <c r="B15" s="3" t="n"/>
      <c r="C15" s="3" t="n"/>
      <c r="D15" s="3" t="n"/>
      <c r="E15" s="3" t="n"/>
      <c r="F15" s="3" t="n"/>
    </row>
    <row r="16">
      <c r="A16" s="3" t="n"/>
      <c r="B16" s="3" t="n"/>
      <c r="C16" s="3" t="n"/>
      <c r="D16" s="3" t="n"/>
      <c r="E16" s="3" t="n"/>
      <c r="F16" s="3" t="n"/>
    </row>
    <row r="17" ht="44" customHeight="1">
      <c r="A17" s="47" t="inlineStr">
        <is>
          <t>Playwright là lựa chọn cá nhân của Cao Tiến Thành cho phân hệ Leave. Các thành viên khác tự chọn công cụ phù hợp. P1/P2 là mức ưu tiên triển khai, không phải kết quả chạy. Chưa triển khai automation scripts.</t>
        </is>
      </c>
      <c r="B17" s="24" t="n"/>
      <c r="C17" s="24" t="n"/>
      <c r="D17" s="24" t="n"/>
      <c r="E17" s="24" t="n"/>
      <c r="F17" s="25" t="n"/>
    </row>
    <row r="18">
      <c r="A18" s="3" t="n"/>
      <c r="B18" s="3" t="n"/>
      <c r="C18" s="3" t="n"/>
      <c r="D18" s="3" t="n"/>
      <c r="E18" s="3" t="n"/>
      <c r="F18" s="3" t="n"/>
    </row>
    <row r="19">
      <c r="A19" s="3" t="n"/>
      <c r="B19" s="3" t="n"/>
      <c r="C19" s="3" t="n"/>
      <c r="D19" s="3" t="n"/>
      <c r="E19" s="3" t="n"/>
      <c r="F19" s="3" t="n"/>
    </row>
    <row r="20">
      <c r="A20" s="3" t="n"/>
      <c r="B20" s="3" t="n"/>
      <c r="C20" s="3" t="n"/>
      <c r="D20" s="3" t="n"/>
      <c r="E20" s="3" t="n"/>
      <c r="F20" s="3" t="n"/>
    </row>
  </sheetData>
  <mergeCells count="2">
    <mergeCell ref="A2:F2"/>
    <mergeCell ref="A17:F17"/>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1:I23"/>
  <sheetViews>
    <sheetView showGridLines="1" workbookViewId="0">
      <selection activeCell="A1" sqref="A1"/>
    </sheetView>
  </sheetViews>
  <sheetFormatPr baseColWidth="8" defaultRowHeight="15"/>
  <cols>
    <col width="3" customWidth="1" min="1" max="1"/>
    <col width="7" customWidth="1" min="2" max="2"/>
    <col width="28" customWidth="1" min="3" max="3"/>
    <col width="15" customWidth="1" min="4" max="4"/>
    <col width="15" customWidth="1" min="5" max="5"/>
    <col width="17" customWidth="1" min="6" max="6"/>
    <col width="15" customWidth="1" min="7" max="7"/>
    <col width="15" customWidth="1" min="8" max="8"/>
    <col width="16" customWidth="1" min="9" max="9"/>
  </cols>
  <sheetData>
    <row r="1" ht="42" customHeight="1">
      <c r="B1" s="5" t="inlineStr">
        <is>
          <t>TEST REPORT</t>
        </is>
      </c>
    </row>
    <row r="2">
      <c r="B2" s="3" t="n"/>
      <c r="C2" s="3" t="n"/>
      <c r="D2" s="3" t="n"/>
      <c r="E2" s="3" t="n"/>
      <c r="F2" s="3" t="n"/>
      <c r="G2" s="3" t="n"/>
      <c r="H2" s="3" t="n"/>
      <c r="I2" s="3" t="n"/>
    </row>
    <row r="3">
      <c r="B3" s="43" t="inlineStr">
        <is>
          <t>Project Name</t>
        </is>
      </c>
      <c r="C3" s="25" t="n"/>
      <c r="D3" s="43">
        <f>'Cover'!C4</f>
        <v/>
      </c>
      <c r="E3" s="24" t="n"/>
      <c r="F3" s="24" t="n"/>
      <c r="G3" s="24" t="n"/>
      <c r="H3" s="24" t="n"/>
      <c r="I3" s="25" t="n"/>
    </row>
    <row r="4">
      <c r="B4" s="43" t="inlineStr">
        <is>
          <t>Document Code</t>
        </is>
      </c>
      <c r="C4" s="25" t="n"/>
      <c r="D4" s="43">
        <f>'Cover'!C6</f>
        <v/>
      </c>
      <c r="E4" s="24" t="n"/>
      <c r="F4" s="24" t="n"/>
      <c r="G4" s="24" t="n"/>
      <c r="H4" s="24" t="n"/>
      <c r="I4" s="25" t="n"/>
    </row>
    <row r="5">
      <c r="B5" s="43" t="inlineStr">
        <is>
          <t>Run ID / Date</t>
        </is>
      </c>
      <c r="C5" s="25" t="n"/>
      <c r="D5" s="56" t="n"/>
      <c r="E5" s="24" t="n"/>
      <c r="F5" s="25" t="n"/>
      <c r="G5" s="56" t="n"/>
      <c r="H5" s="24" t="n"/>
      <c r="I5" s="25" t="n"/>
    </row>
    <row r="6">
      <c r="B6" s="43" t="inlineStr">
        <is>
          <t>Browser / Version</t>
        </is>
      </c>
      <c r="C6" s="25" t="n"/>
      <c r="D6" s="56" t="n"/>
      <c r="E6" s="24" t="n"/>
      <c r="F6" s="24" t="n"/>
      <c r="G6" s="24" t="n"/>
      <c r="H6" s="24" t="n"/>
      <c r="I6" s="25" t="n"/>
    </row>
    <row r="7">
      <c r="B7" s="3" t="n"/>
      <c r="C7" s="3" t="n"/>
      <c r="D7" s="3" t="n"/>
      <c r="E7" s="3" t="n"/>
      <c r="F7" s="3" t="n"/>
      <c r="G7" s="3" t="n"/>
      <c r="H7" s="3" t="n"/>
      <c r="I7" s="3" t="n"/>
    </row>
    <row r="8">
      <c r="B8" s="3" t="n"/>
      <c r="C8" s="3" t="n"/>
      <c r="D8" s="3" t="n"/>
      <c r="E8" s="3" t="n"/>
      <c r="F8" s="3" t="n"/>
      <c r="G8" s="3" t="n"/>
      <c r="H8" s="3" t="n"/>
      <c r="I8" s="3" t="n"/>
    </row>
    <row r="9" ht="32" customHeight="1">
      <c r="B9" s="46" t="inlineStr">
        <is>
          <t>No.</t>
        </is>
      </c>
      <c r="C9" s="46" t="inlineStr">
        <is>
          <t>Module Code</t>
        </is>
      </c>
      <c r="D9" s="46" t="inlineStr">
        <is>
          <t>Passed</t>
        </is>
      </c>
      <c r="E9" s="46" t="inlineStr">
        <is>
          <t>Failed</t>
        </is>
      </c>
      <c r="F9" s="46" t="inlineStr">
        <is>
          <t>Untested</t>
        </is>
      </c>
      <c r="G9" s="46" t="inlineStr">
        <is>
          <t>Blocked</t>
        </is>
      </c>
      <c r="H9" s="46" t="inlineStr">
        <is>
          <t>Skipped</t>
        </is>
      </c>
      <c r="I9" s="46" t="inlineStr">
        <is>
          <t>Total</t>
        </is>
      </c>
    </row>
    <row r="10" ht="30" customHeight="1">
      <c r="B10" s="43" t="n">
        <v>1</v>
      </c>
      <c r="C10" s="43" t="inlineStr">
        <is>
          <t>LEAVE_CONFIG</t>
        </is>
      </c>
      <c r="D10" s="43">
        <f>'LEAVE_CONFIG'!A6</f>
        <v/>
      </c>
      <c r="E10" s="43">
        <f>'LEAVE_CONFIG'!B6</f>
        <v/>
      </c>
      <c r="F10" s="43">
        <f>'LEAVE_CONFIG'!C6</f>
        <v/>
      </c>
      <c r="G10" s="43">
        <f>'LEAVE_CONFIG'!D6</f>
        <v/>
      </c>
      <c r="H10" s="43">
        <f>'LEAVE_CONFIG'!E6</f>
        <v/>
      </c>
      <c r="I10" s="43">
        <f>'LEAVE_CONFIG'!F6</f>
        <v/>
      </c>
    </row>
    <row r="11" ht="30" customHeight="1">
      <c r="B11" s="43" t="n">
        <v>2</v>
      </c>
      <c r="C11" s="43" t="inlineStr">
        <is>
          <t>LEAVE_SELF</t>
        </is>
      </c>
      <c r="D11" s="43">
        <f>'LEAVE_SELF'!A6</f>
        <v/>
      </c>
      <c r="E11" s="43">
        <f>'LEAVE_SELF'!B6</f>
        <v/>
      </c>
      <c r="F11" s="43">
        <f>'LEAVE_SELF'!C6</f>
        <v/>
      </c>
      <c r="G11" s="43">
        <f>'LEAVE_SELF'!D6</f>
        <v/>
      </c>
      <c r="H11" s="43">
        <f>'LEAVE_SELF'!E6</f>
        <v/>
      </c>
      <c r="I11" s="43">
        <f>'LEAVE_SELF'!F6</f>
        <v/>
      </c>
    </row>
    <row r="12" ht="30" customHeight="1">
      <c r="B12" s="43" t="n">
        <v>3</v>
      </c>
      <c r="C12" s="43" t="inlineStr">
        <is>
          <t>LEAVE_ADMIN</t>
        </is>
      </c>
      <c r="D12" s="43">
        <f>'LEAVE_ADMIN'!A6</f>
        <v/>
      </c>
      <c r="E12" s="43">
        <f>'LEAVE_ADMIN'!B6</f>
        <v/>
      </c>
      <c r="F12" s="43">
        <f>'LEAVE_ADMIN'!C6</f>
        <v/>
      </c>
      <c r="G12" s="43">
        <f>'LEAVE_ADMIN'!D6</f>
        <v/>
      </c>
      <c r="H12" s="43">
        <f>'LEAVE_ADMIN'!E6</f>
        <v/>
      </c>
      <c r="I12" s="43">
        <f>'LEAVE_ADMIN'!F6</f>
        <v/>
      </c>
    </row>
    <row r="13">
      <c r="B13" s="3" t="n"/>
      <c r="C13" s="3" t="n"/>
      <c r="D13" s="3" t="n"/>
      <c r="E13" s="3" t="n"/>
      <c r="F13" s="3" t="n"/>
      <c r="G13" s="3" t="n"/>
      <c r="H13" s="3" t="n"/>
      <c r="I13" s="3" t="n"/>
    </row>
    <row r="14">
      <c r="B14" s="57" t="inlineStr">
        <is>
          <t>Total</t>
        </is>
      </c>
      <c r="C14" s="25" t="n"/>
      <c r="D14" s="57">
        <f>SUM(D10:D12)</f>
        <v/>
      </c>
      <c r="E14" s="57">
        <f>SUM(E10:E12)</f>
        <v/>
      </c>
      <c r="F14" s="57">
        <f>SUM(F10:F12)</f>
        <v/>
      </c>
      <c r="G14" s="57">
        <f>SUM(G10:G12)</f>
        <v/>
      </c>
      <c r="H14" s="57">
        <f>SUM(H10:H12)</f>
        <v/>
      </c>
      <c r="I14" s="57">
        <f>SUM(I10:I12)</f>
        <v/>
      </c>
    </row>
    <row r="15">
      <c r="B15" s="3" t="n"/>
      <c r="C15" s="3" t="n"/>
      <c r="D15" s="3" t="n"/>
      <c r="E15" s="3" t="n"/>
      <c r="F15" s="3" t="n"/>
      <c r="G15" s="3" t="n"/>
      <c r="H15" s="3" t="n"/>
      <c r="I15" s="3" t="n"/>
    </row>
    <row r="16">
      <c r="B16" s="3" t="n"/>
      <c r="C16" s="3" t="n"/>
      <c r="D16" s="3" t="n"/>
      <c r="E16" s="3" t="n"/>
      <c r="F16" s="3" t="n"/>
      <c r="G16" s="3" t="n"/>
      <c r="H16" s="3" t="n"/>
      <c r="I16" s="3" t="n"/>
    </row>
    <row r="17">
      <c r="B17" s="43" t="inlineStr">
        <is>
          <t>Execution coverage</t>
        </is>
      </c>
      <c r="C17" s="24" t="n"/>
      <c r="D17" s="25" t="n"/>
      <c r="E17" s="58">
        <f>IF(I14=0,"",(D14+E14)/I14)</f>
        <v/>
      </c>
      <c r="F17" s="25" t="n"/>
      <c r="G17" s="3" t="n"/>
      <c r="H17" s="3" t="n"/>
      <c r="I17" s="3" t="n"/>
    </row>
    <row r="18">
      <c r="B18" s="43" t="inlineStr">
        <is>
          <t>Pass rate (executed only)</t>
        </is>
      </c>
      <c r="C18" s="24" t="n"/>
      <c r="D18" s="25" t="n"/>
      <c r="E18" s="58">
        <f>IF(D14+E14=0,"Chưa thực thi",D14/(D14+E14))</f>
        <v/>
      </c>
      <c r="F18" s="25" t="n"/>
      <c r="G18" s="3" t="n"/>
      <c r="H18" s="3" t="n"/>
      <c r="I18" s="3" t="n"/>
    </row>
    <row r="19">
      <c r="B19" s="3" t="n"/>
      <c r="C19" s="3" t="n"/>
      <c r="D19" s="3" t="n"/>
      <c r="E19" s="3" t="n"/>
      <c r="F19" s="3" t="n"/>
      <c r="G19" s="3" t="n"/>
      <c r="H19" s="3" t="n"/>
      <c r="I19" s="3" t="n"/>
    </row>
    <row r="20" ht="40" customHeight="1">
      <c r="B20" s="43" t="inlineStr">
        <is>
          <t>Execution coverage = (Passed + Failed) / Total. Pass rate = Passed / (Passed + Failed). Blocked và Skipped không được tính là đã thực thi.</t>
        </is>
      </c>
      <c r="C20" s="24" t="n"/>
      <c r="D20" s="24" t="n"/>
      <c r="E20" s="24" t="n"/>
      <c r="F20" s="24" t="n"/>
      <c r="G20" s="24" t="n"/>
      <c r="H20" s="24" t="n"/>
      <c r="I20" s="25" t="n"/>
    </row>
    <row r="21">
      <c r="B21" s="3" t="n"/>
      <c r="C21" s="3" t="n"/>
      <c r="D21" s="3" t="n"/>
      <c r="E21" s="3" t="n"/>
      <c r="F21" s="3" t="n"/>
      <c r="G21" s="3" t="n"/>
      <c r="H21" s="3" t="n"/>
      <c r="I21" s="3" t="n"/>
    </row>
    <row r="22" ht="40" customHeight="1">
      <c r="B22" s="43" t="inlineStr">
        <is>
          <t>Sau run, điền actual result, Defect ID (nếu có), ảnh/log và ngày thực chạy tại sheet test case. Các tổng hợp tự cập nhật từ cột Result.</t>
        </is>
      </c>
      <c r="C22" s="24" t="n"/>
      <c r="D22" s="24" t="n"/>
      <c r="E22" s="24" t="n"/>
      <c r="F22" s="24" t="n"/>
      <c r="G22" s="24" t="n"/>
      <c r="H22" s="24" t="n"/>
      <c r="I22" s="25" t="n"/>
    </row>
    <row r="23">
      <c r="B23" s="3" t="n"/>
      <c r="C23" s="3" t="n"/>
      <c r="D23" s="3" t="n"/>
      <c r="E23" s="3" t="n"/>
      <c r="F23" s="3" t="n"/>
      <c r="G23" s="3" t="n"/>
      <c r="H23" s="3" t="n"/>
      <c r="I23" s="3" t="n"/>
    </row>
  </sheetData>
  <mergeCells count="17">
    <mergeCell ref="B6:C6"/>
    <mergeCell ref="D5:F5"/>
    <mergeCell ref="B1:I1"/>
    <mergeCell ref="G5:I5"/>
    <mergeCell ref="D4:I4"/>
    <mergeCell ref="B3:C3"/>
    <mergeCell ref="B5:C5"/>
    <mergeCell ref="B20:I20"/>
    <mergeCell ref="B17:D17"/>
    <mergeCell ref="B18:D18"/>
    <mergeCell ref="B14:C14"/>
    <mergeCell ref="B22:I22"/>
    <mergeCell ref="D3:I3"/>
    <mergeCell ref="D6:I6"/>
    <mergeCell ref="E17:F17"/>
    <mergeCell ref="E18:F18"/>
    <mergeCell ref="B4:C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2026-10-21T08:33:55Z</dcterms:created>
  <dcterms:modified xmlns:dcterms="http://purl.org/dc/terms/" xmlns:xsi="http://www.w3.org/2001/XMLSchema-instance" xsi:type="dcterms:W3CDTF">2026-10-21T09:02:09Z</dcterms:modified>
</cp:coreProperties>
</file>