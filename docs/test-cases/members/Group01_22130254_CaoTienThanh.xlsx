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ester\OrangeHRM-Testing\docs\test-cases\members\"/>
    </mc:Choice>
  </mc:AlternateContent>
  <xr:revisionPtr revIDLastSave="0" documentId="13_ncr:1_{233AEBAD-6461-4D24-88B1-525234855E5A}" xr6:coauthVersionLast="47" xr6:coauthVersionMax="47" xr10:uidLastSave="{00000000-0000-0000-0000-000000000000}"/>
  <bookViews>
    <workbookView xWindow="-108" yWindow="-108" windowWidth="23256" windowHeight="12576" xr2:uid="{00000000-000D-0000-FFFF-FFFF00000000}"/>
  </bookViews>
  <sheets>
    <sheet name="Cover" sheetId="1" r:id="rId1"/>
    <sheet name="Test case List" sheetId="2" r:id="rId2"/>
    <sheet name="TestDesign" sheetId="3" r:id="rId3"/>
    <sheet name="LEAVE_CONFIG" sheetId="4" r:id="rId4"/>
    <sheet name="LEAVE_SELF" sheetId="5" r:id="rId5"/>
    <sheet name="LEAVE_ADMIN" sheetId="6" r:id="rId6"/>
    <sheet name="Test Data" sheetId="7" r:id="rId7"/>
    <sheet name="Automation Plan" sheetId="8" r:id="rId8"/>
    <sheet name="Test Report" sheetId="9" r:id="rId9"/>
  </sheets>
  <definedNames>
    <definedName name="_xlnm._FilterDatabase" localSheetId="5" hidden="1">LEAVE_ADMIN!$A$8:$H$33</definedName>
    <definedName name="_xlnm._FilterDatabase" localSheetId="3" hidden="1">LEAVE_CONFIG!$A$8:$H$33</definedName>
    <definedName name="_xlnm._FilterDatabase" localSheetId="4" hidden="1">LEAVE_SELF!$A$8:$H$33</definedName>
    <definedName name="_xlnm.Print_Area" localSheetId="7">'Automation Plan'!$A$2:$F$17</definedName>
    <definedName name="_xlnm.Print_Area" localSheetId="0">Cover!$B$2:$G$20</definedName>
    <definedName name="_xlnm.Print_Area" localSheetId="5">LEAVE_ADMIN!$A$1:$H$33</definedName>
    <definedName name="_xlnm.Print_Area" localSheetId="3">LEAVE_CONFIG!$A$1:$H$33</definedName>
    <definedName name="_xlnm.Print_Area" localSheetId="4">LEAVE_SELF!$A$1:$H$33</definedName>
    <definedName name="_xlnm.Print_Area" localSheetId="1">'Test case List'!$B$2:$F$16</definedName>
    <definedName name="_xlnm.Print_Area" localSheetId="6">'Test Data'!$A$2:$F$146</definedName>
    <definedName name="_xlnm.Print_Area" localSheetId="8">'Test Report'!$B$1:$I$24</definedName>
    <definedName name="_xlnm.Print_Area" localSheetId="2">TestDesign!$A$1:$F$16</definedName>
    <definedName name="_xlnm.Print_Titles" localSheetId="7">'Automation Plan'!$1:$4</definedName>
    <definedName name="_xlnm.Print_Titles" localSheetId="5">LEAVE_ADMIN!$1:$8</definedName>
    <definedName name="_xlnm.Print_Titles" localSheetId="3">LEAVE_CONFIG!$1:$8</definedName>
    <definedName name="_xlnm.Print_Titles" localSheetId="4">LEAVE_SELF!$1:$8</definedName>
    <definedName name="_xlnm.Print_Titles" localSheetId="1">'Test case List'!$1:$8</definedName>
    <definedName name="_xlnm.Print_Titles" localSheetId="6">'Test Data'!$1:$4</definedName>
    <definedName name="_xlnm.Print_Titles" localSheetId="2">TestDesign!$1:$1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9" l="1"/>
  <c r="D3" i="9"/>
  <c r="F6" i="6"/>
  <c r="I12" i="9" s="1"/>
  <c r="E6" i="6"/>
  <c r="H12" i="9" s="1"/>
  <c r="D6" i="6"/>
  <c r="G12" i="9" s="1"/>
  <c r="C6" i="6"/>
  <c r="F12" i="9" s="1"/>
  <c r="B6" i="6"/>
  <c r="E12" i="9" s="1"/>
  <c r="A6" i="6"/>
  <c r="D12" i="9" s="1"/>
  <c r="F6" i="5"/>
  <c r="I11" i="9" s="1"/>
  <c r="E6" i="5"/>
  <c r="H11" i="9" s="1"/>
  <c r="D6" i="5"/>
  <c r="G11" i="9" s="1"/>
  <c r="C6" i="5"/>
  <c r="F11" i="9" s="1"/>
  <c r="B6" i="5"/>
  <c r="E11" i="9" s="1"/>
  <c r="A6" i="5"/>
  <c r="D11" i="9" s="1"/>
  <c r="F6" i="4"/>
  <c r="I10" i="9" s="1"/>
  <c r="E6" i="4"/>
  <c r="H10" i="9" s="1"/>
  <c r="D6" i="4"/>
  <c r="G10" i="9" s="1"/>
  <c r="C6" i="4"/>
  <c r="F10" i="9" s="1"/>
  <c r="B6" i="4"/>
  <c r="E10" i="9" s="1"/>
  <c r="E14" i="9" s="1"/>
  <c r="A6" i="4"/>
  <c r="D10" i="9" s="1"/>
  <c r="D14" i="9" s="1"/>
  <c r="E18" i="9" s="1"/>
  <c r="D5" i="2"/>
  <c r="D4" i="2"/>
  <c r="G14" i="9" l="1"/>
  <c r="I14" i="9"/>
  <c r="E17" i="9" s="1"/>
  <c r="F14" i="9"/>
  <c r="H14" i="9"/>
</calcChain>
</file>

<file path=xl/sharedStrings.xml><?xml version="1.0" encoding="utf-8"?>
<sst xmlns="http://schemas.openxmlformats.org/spreadsheetml/2006/main" count="1261" uniqueCount="898">
  <si>
    <t>TEST CASE</t>
  </si>
  <si>
    <t>Project Name</t>
  </si>
  <si>
    <t>OrangeHRM – Kiểm thử phân hệ Leave</t>
  </si>
  <si>
    <t>Creator</t>
  </si>
  <si>
    <t>Cao Tiến Thành</t>
  </si>
  <si>
    <t>Project Code</t>
  </si>
  <si>
    <t>Group01_OrangeHRM</t>
  </si>
  <si>
    <t>Reviewer / Approver</t>
  </si>
  <si>
    <t>Võ Minh Nhựt (chờ review)</t>
  </si>
  <si>
    <t>Document Code</t>
  </si>
  <si>
    <t>Group01_22130254_CaoTienThanh</t>
  </si>
  <si>
    <t>Issue Date</t>
  </si>
  <si>
    <t>Version</t>
  </si>
  <si>
    <t>1.2</t>
  </si>
  <si>
    <t>Record of change</t>
  </si>
  <si>
    <t>Effective Date</t>
  </si>
  <si>
    <t>Change Item</t>
  </si>
  <si>
    <t>A, D, M</t>
  </si>
  <si>
    <t>Change description</t>
  </si>
  <si>
    <t>Reference</t>
  </si>
  <si>
    <t>1.0</t>
  </si>
  <si>
    <t>Leave test design</t>
  </si>
  <si>
    <t>A</t>
  </si>
  <si>
    <t>Thiết kế 75 test case cho 3 chức năng Leave (Leave Types &amp; Entitlements, Apply Leave &amp; My Leave, Leave List &amp; Request Actions).</t>
  </si>
  <si>
    <t>ASM06 - Group01</t>
  </si>
  <si>
    <t>1.1</t>
  </si>
  <si>
    <t>Hoàn thiện workbook Leave / ASM7</t>
  </si>
  <si>
    <t>M</t>
  </si>
  <si>
    <t>Hoàn thiện 75 case đúng 3 nhóm; sửa fixture, dữ liệu biên và expected; đồng bộ Cypress AAA. Ghi nhận 15 Passed có ảnh, 60 Untested.</t>
  </si>
  <si>
    <t>ASM7 – Cypress UI</t>
  </si>
  <si>
    <t>Mở rộng script và đồng bộ kết quả ASM7</t>
  </si>
  <si>
    <t>Tổng hợp 5 nguồn: 74 Passed, 1 Failed, 0 Untested, 0 Blocked; 75 PNG. Chi tiết và giới hạn xác minh: Test Data / validation-summary.json.</t>
  </si>
  <si>
    <t>22130254/validation-summary.json</t>
  </si>
  <si>
    <t>Student ID</t>
  </si>
  <si>
    <t>22130254</t>
  </si>
  <si>
    <t>Group</t>
  </si>
  <si>
    <t>Group01</t>
  </si>
  <si>
    <t>Role</t>
  </si>
  <si>
    <t>Thành viên</t>
  </si>
  <si>
    <t>Website</t>
  </si>
  <si>
    <t>https://opensource-demo.orangehrmlive.com/</t>
  </si>
  <si>
    <t>Automation tool</t>
  </si>
  <si>
    <t>Cypress 15.21.1 – UI-driven – tuần tự AAA</t>
  </si>
  <si>
    <t>Scope</t>
  </si>
  <si>
    <t>LEAVE_CONFIG: Leave Types &amp; Entitlements
LEAVE_SELF: Apply Leave &amp; My Leave
LEAVE_ADMIN: Leave List &amp; Request Actions</t>
  </si>
  <si>
    <t>TEST CASE LIST</t>
  </si>
  <si>
    <t>Test Environment</t>
  </si>
  <si>
    <t>edge 156.0.4314.42 (headless) | Cypress 15.21.1 | OrangeHRM OS 5.9 demo</t>
  </si>
  <si>
    <t>No.</t>
  </si>
  <si>
    <t>Function Name</t>
  </si>
  <si>
    <t>Sheet Name</t>
  </si>
  <si>
    <t>Description</t>
  </si>
  <si>
    <t>Pre-condition</t>
  </si>
  <si>
    <t>Leave Types &amp; Entitlements</t>
  </si>
  <si>
    <t>LEAVE_CONFIG</t>
  </si>
  <si>
    <t>Tạo/sửa/xóa Leave Types, validation; cấp hạn mức, lọc Employee Entitlements theo nhân viên/loại phép/kỳ và đối chiếu tổng ngày.</t>
  </si>
  <si>
    <t>Admin đã đăng nhập. Chuẩn bị nhân viên/kỳ phép theo từng case. Với case tạo mới, loại phép thử nghiệm phải chưa tồn tại.</t>
  </si>
  <si>
    <t>Apply Leave &amp; My Leave</t>
  </si>
  <si>
    <t>LEAVE_SELF</t>
  </si>
  <si>
    <t>Apply Leave: ngày, thời lượng cả ngày/nửa ngày/theo giờ, hạn mức, overlap và comments; My Leave: tìm/lọc, Reset và hủy đơn của chính nhân viên.</t>
  </si>
  <si>
    <t>Đăng nhập ESS của nhân viên fixture. Loại phép có hạn mức kỳ hiện tại để mở Apply; đủ hạn mức kỳ xin nghỉ. Đơn đầu vào riêng theo từng trạng thái.</t>
  </si>
  <si>
    <t>Leave List &amp; Request Actions</t>
  </si>
  <si>
    <t>LEAVE_ADMIN</t>
  </si>
  <si>
    <t>Leave List: bộ lọc, phân trang; Request Actions: xem chi tiết, comments, Approve/Reject/Cancel và thao tác hàng loạt theo quyền/trạng thái.</t>
  </si>
  <si>
    <t>Admin khác người xin nghỉ. Có đơn fixture ở đúng trạng thái đầu vào. Chỉ thao tác dòng khớp nhân viên, loại phép và ngày của fixture.</t>
  </si>
  <si>
    <t>Mỗi module có 25 case, tổng 75. Giữ nguyên Case ID để truy vết TestDesign và Cypress. Fixture, dữ liệu thực thi và dependency được ghi rõ trong Test Data / cột E, H.</t>
  </si>
  <si>
    <t>Kết quả gần nhất qua lượt đầy đủ và hồi quy: 74 Passed, 1 Failed, 0 Untested, 0 Blocked. Script coverage=75/75 (100%); execution coverage=100.00%; pass rate executed=98.67%. Tổng hợp kết quả gần nhất từng case từ lượt đầy đủ và các lượt hồi quy trên source SHA khác nhau; không phải một lượt đầy đủ duy nhất đạt 75/75. Snapshot nguồn full v6 không còn, không xác minh byte-for-byte nguồn đó; raw source hash và giới hạn review được công bố.</t>
  </si>
  <si>
    <t>Req Level 1</t>
  </si>
  <si>
    <t>Req Level 2</t>
  </si>
  <si>
    <t>Req Level 3</t>
  </si>
  <si>
    <t>Test Criteria</t>
  </si>
  <si>
    <t>Test Type</t>
  </si>
  <si>
    <t>Note</t>
  </si>
  <si>
    <t>Tạo và quản lý Leave Type</t>
  </si>
  <si>
    <t>Tạo tối thiểu/đầy đủ; kiểm tra Is Entitlement Situational (Yes/No); lưu thành công.</t>
  </si>
  <si>
    <t>Phân vùng tương đương</t>
  </si>
  <si>
    <t>TD_LEAVE_CONFIG_01
TC_LEAVE_CONFIG_001, TC_LEAVE_CONFIG_002
Automation: 2/2 ID có script; kết quả gần nhất 2 Passed, 0 Failed, 0 Untested, 0 Blocked.
Nguồn: mvo0xyu9, mvo3y0fj; xem raw report/source trong Note từng case.</t>
  </si>
  <si>
    <t>Validation tên Leave Type</t>
  </si>
  <si>
    <t>Tên bắt buộc, khoảng trắng; biên 50/51 ký tự; kiểm tra trùng lặp tên đã tồn tại.</t>
  </si>
  <si>
    <t>Phân vùng tương đương
Phân tích giá trị biên</t>
  </si>
  <si>
    <t>TD_LEAVE_CONFIG_02
TC_LEAVE_CONFIG_003, TC_LEAVE_CONFIG_004, TC_LEAVE_CONFIG_005, TC_LEAVE_CONFIG_006, TC_LEAVE_CONFIG_007
Automation: 5/5 ID có script; kết quả gần nhất 5 Passed, 0 Failed, 0 Untested, 0 Blocked.
Nguồn: mvo0xyu9; xem raw report/source trong Note từng case.</t>
  </si>
  <si>
    <t>Sửa và xóa Leave Type</t>
  </si>
  <si>
    <t>Sửa tên/tính chất; hủy tạo/sửa; xóa loại phép với modal xác nhận; hủy xóa.</t>
  </si>
  <si>
    <t>Chuyển trạng thái
Phân vùng tương đương</t>
  </si>
  <si>
    <t>TD_LEAVE_CONFIG_03
TC_LEAVE_CONFIG_009, TC_LEAVE_CONFIG_010, TC_LEAVE_CONFIG_011, TC_LEAVE_CONFIG_012, TC_LEAVE_CONFIG_013, TC_LEAVE_CONFIG_014, TC_LEAVE_CONFIG_015
Automation: 7/7 ID có script; kết quả gần nhất 7 Passed, 0 Failed, 0 Untested, 0 Blocked.
Nguồn: mvo0xyu9; xem raw report/source trong Note từng case.</t>
  </si>
  <si>
    <t>Thêm và lọc Entitlement cá nhân</t>
  </si>
  <si>
    <t>Cấp số nguyên 20, số thập phân 7.50; autocomplete; Confirm; lọc theo nhân viên/loại phép/kỳ và đối chiếu tổng ngày.</t>
  </si>
  <si>
    <t>Phân vùng tương đương
Bảng quyết định</t>
  </si>
  <si>
    <t>TD_LEAVE_CONFIG_04
TC_LEAVE_CONFIG_008, TC_LEAVE_CONFIG_016, TC_LEAVE_CONFIG_017, TC_LEAVE_CONFIG_025
Automation: 4/4 ID có script; kết quả gần nhất 4 Passed, 0 Failed, 0 Untested, 0 Blocked.
Nguồn: mvo0xyu9, mvo2h9dk, mvo3y0fj; xem raw report/source trong Note từng case.</t>
  </si>
  <si>
    <t>Validation trường Entitlement</t>
  </si>
  <si>
    <t>Bắt buộc Employee/Leave Type/Entitlement; kiểm tra số âm, chữ, số thập phân quá 2 chữ số.</t>
  </si>
  <si>
    <t>Phân tích giá trị biên
Phân vùng tương đương</t>
  </si>
  <si>
    <t>TD_LEAVE_CONFIG_05
TC_LEAVE_CONFIG_018, TC_LEAVE_CONFIG_019, TC_LEAVE_CONFIG_020, TC_LEAVE_CONFIG_021, TC_LEAVE_CONFIG_022, TC_LEAVE_CONFIG_023, TC_LEAVE_CONFIG_024
Automation: 7/7 ID có script; kết quả gần nhất 7 Passed, 0 Failed, 0 Untested, 0 Blocked.
Nguồn: mvo0xyu9; xem raw report/source trong Note từng case.</t>
  </si>
  <si>
    <t>Nộp đơn xin nghỉ phép</t>
  </si>
  <si>
    <t>Nộp 1 ngày, nhiều ngày; Half Day - Morning; Specify Time trên ca 8 giờ; kiểm tra trạng thái, thời lượng và số dư.</t>
  </si>
  <si>
    <t>Phân vùng tương đương
Chuyển trạng thái</t>
  </si>
  <si>
    <t>TD_LEAVE_SELF_01
TC_LEAVE_SELF_001, TC_LEAVE_SELF_002, TC_LEAVE_SELF_003, TC_LEAVE_SELF_008
Automation: 4/4 ID có script; kết quả gần nhất 4 Passed, 0 Failed, 0 Untested, 0 Blocked.
Nguồn: mvo2h9dk; xem raw report/source trong Note từng case.</t>
  </si>
  <si>
    <t>Validation các trường nộp đơn</t>
  </si>
  <si>
    <t>Bắt buộc Leave Type, From Date, To Date; ngày không tồn tại (30/02, 31/04).</t>
  </si>
  <si>
    <t>TD_LEAVE_SELF_02
TC_LEAVE_SELF_004, TC_LEAVE_SELF_005, TC_LEAVE_SELF_006, TC_LEAVE_SELF_009, TC_LEAVE_SELF_010
Automation: 5/5 ID có script; kết quả gần nhất 5 Passed, 0 Failed, 0 Untested, 0 Blocked.
Nguồn: mvo0xyu9; xem raw report/source trong Note từng case.</t>
  </si>
  <si>
    <t>Kỳ hạn mức, khoảng ngày và trùng lịch</t>
  </si>
  <si>
    <t>To trước From; Apply không khả dụng khi thiếu entitlement kỳ hiện tại; trùng toàn bộ và trùng một phần lịch đã có.</t>
  </si>
  <si>
    <t>Bảng quyết định
Phân tích giá trị biên</t>
  </si>
  <si>
    <t>TD_LEAVE_SELF_03
TC_LEAVE_SELF_007, TC_LEAVE_SELF_011, TC_LEAVE_SELF_012, TC_LEAVE_SELF_013
Automation: 4/4 ID có script; kết quả gần nhất 4 Passed, 0 Failed, 0 Untested, 0 Blocked.
Nguồn: mvo0xyu9; xem raw report/source trong Note từng case.</t>
  </si>
  <si>
    <t>Comments và bộ lọc My Leave</t>
  </si>
  <si>
    <t>Biên Comments 250/251; xem danh sách; lọc theo ngày, theo status, theo Leave Type, nút Reset.</t>
  </si>
  <si>
    <t>Phân tích giá trị biên
Bảng quyết định</t>
  </si>
  <si>
    <t>TD_LEAVE_SELF_04
TC_LEAVE_SELF_014, TC_LEAVE_SELF_015, TC_LEAVE_SELF_016, TC_LEAVE_SELF_017, TC_LEAVE_SELF_018, TC_LEAVE_SELF_019, TC_LEAVE_SELF_020, TC_LEAVE_SELF_021
Automation: 8/8 ID có script; kết quả gần nhất 8 Passed, 0 Failed, 0 Untested, 0 Blocked.
Nguồn: mvo0xyu9; xem raw report/source trong Note từng case.</t>
  </si>
  <si>
    <t>Hủy đơn trong My Leave</t>
  </si>
  <si>
    <t>Hủy đơn Pending Approval; hủy đơn Scheduled; chặn hủy đơn Rejected/Taken; hoàn lại Leave Balance.</t>
  </si>
  <si>
    <t>TD_LEAVE_SELF_05
TC_LEAVE_SELF_022, TC_LEAVE_SELF_023, TC_LEAVE_SELF_024, TC_LEAVE_SELF_025
Automation: 4/4 ID có script; kết quả gần nhất 4 Passed, 0 Failed, 0 Untested, 0 Blocked.
Nguồn: mvo0xyu9, mvo2h9dk; xem raw report/source trong Note từng case.</t>
  </si>
  <si>
    <t>Tìm kiếm và lọc danh sách đơn</t>
  </si>
  <si>
    <t>Lọc theo Employee Name qua autocomplete, Sub Unit, Leave Type, khoảng thời gian From-To; lỗi From &gt; To.</t>
  </si>
  <si>
    <t>Bảng quyết định
Phân vùng tương đương</t>
  </si>
  <si>
    <t>TD_LEAVE_ADMIN_01
TC_LEAVE_ADMIN_001, TC_LEAVE_ADMIN_002, TC_LEAVE_ADMIN_003, TC_LEAVE_ADMIN_004, TC_LEAVE_ADMIN_005, TC_LEAVE_ADMIN_006
Automation: 6/6 ID có script; kết quả gần nhất 6 Passed, 0 Failed, 0 Untested, 0 Blocked.
Nguồn: mvo2z2kz; xem raw report/source trong Note từng case.</t>
  </si>
  <si>
    <t>Lọc trạng thái và hiển thị</t>
  </si>
  <si>
    <t>Lọc đa trạng thái; Include Past Employees; Reset về kỳ phép mặc định; phân trang trên bộ dữ liệu fixture riêng.</t>
  </si>
  <si>
    <t>TD_LEAVE_ADMIN_02
TC_LEAVE_ADMIN_007, TC_LEAVE_ADMIN_008, TC_LEAVE_ADMIN_009, TC_LEAVE_ADMIN_023
Automation: 4/4 ID có script; kết quả gần nhất 3 Passed, 1 Failed, 0 Untested, 0 Blocked.
Nguồn: mvo2z2kz; xem raw report/source trong Note từng case.</t>
  </si>
  <si>
    <t>Phê duyệt đơn nghỉ phép</t>
  </si>
  <si>
    <t>Approve đơn Pending chuyển sang Scheduled; kiểm tra đồng bộ phía My Leave; chặn Approve lại đơn đã kết thúc.</t>
  </si>
  <si>
    <t>Chuyển trạng thái</t>
  </si>
  <si>
    <t>TD_LEAVE_ADMIN_03
TC_LEAVE_ADMIN_010, TC_LEAVE_ADMIN_011, TC_LEAVE_ADMIN_015, TC_LEAVE_ADMIN_016
Automation: 4/4 ID có script; kết quả gần nhất 4 Passed, 0 Failed, 0 Untested, 0 Blocked.
Nguồn: mvo2z2kz, mvo3y0fj; xem raw report/source trong Note từng case.</t>
  </si>
  <si>
    <t>Từ chối đơn và hoàn trả hạn mức</t>
  </si>
  <si>
    <t>Reject đơn Pending; trạng thái thành Rejected; kiểm tra số dư Leave Balance được hoàn lại cho nhân viên.</t>
  </si>
  <si>
    <t>Chuyển trạng thái
Bảng quyết định</t>
  </si>
  <si>
    <t>TD_LEAVE_ADMIN_04
TC_LEAVE_ADMIN_012, TC_LEAVE_ADMIN_013
Automation: 2/2 ID có script; kết quả gần nhất 2 Passed, 0 Failed, 0 Untested, 0 Blocked.
Nguồn: mvo2z2kz; xem raw report/source trong Note từng case.</t>
  </si>
  <si>
    <t>Cancel, Comments, Bulk và chi tiết đơn</t>
  </si>
  <si>
    <t>Cancel Scheduled qua More; xem/thêm/hủy comment; Select All theo trang; bulk Approve/Reject có Confirm; View Leave Details; đối chiếu số ngày/balance.</t>
  </si>
  <si>
    <t>TD_LEAVE_ADMIN_05
TC_LEAVE_ADMIN_014, TC_LEAVE_ADMIN_017, TC_LEAVE_ADMIN_018, TC_LEAVE_ADMIN_019, TC_LEAVE_ADMIN_020, TC_LEAVE_ADMIN_021, TC_LEAVE_ADMIN_022, TC_LEAVE_ADMIN_024, TC_LEAVE_ADMIN_025
Automation: 9/9 ID có script; kết quả gần nhất 9 Passed, 0 Failed, 0 Untested, 0 Blocked.
Nguồn: mvo2z2kz, mvo3y0fj; xem raw report/source trong Note từng case.</t>
  </si>
  <si>
    <t>Module Code</t>
  </si>
  <si>
    <t>Test requirement</t>
  </si>
  <si>
    <t>Tester</t>
  </si>
  <si>
    <t>Cao Tiến Thành - 22130254</t>
  </si>
  <si>
    <t>Passed</t>
  </si>
  <si>
    <t>Failed</t>
  </si>
  <si>
    <t>Untested</t>
  </si>
  <si>
    <t>Blocked</t>
  </si>
  <si>
    <t>Skipped</t>
  </si>
  <si>
    <t>Number of Test cases</t>
  </si>
  <si>
    <t>ID</t>
  </si>
  <si>
    <t>Test Case Description</t>
  </si>
  <si>
    <t>Test Case Procedure</t>
  </si>
  <si>
    <t>Expected Output</t>
  </si>
  <si>
    <t>Inter-test case Dependence</t>
  </si>
  <si>
    <t>Result</t>
  </si>
  <si>
    <t>Test date</t>
  </si>
  <si>
    <t>TC_LEAVE_CONFIG_001</t>
  </si>
  <si>
    <t>Thêm mới Leave Type với các trường bắt buộc</t>
  </si>
  <si>
    <t>Tiền điều kiện: Admin đã đăng nhập. Bộ fixture F_TYPE chưa tồn tại.
Input: Name=G01T01_Annual; Is Entitlement Situational=No (mặc định)
1. Vào Leave &gt; Configure &gt; Leave Types.
2. Bấm nút + Add.
3. Nhập Name, giữ nguyên Situational là No.
4. Bấm Save. Đối chiếu danh sách Leave Types.
Kết thúc: khôi phục fixture theo Test Data.</t>
  </si>
  <si>
    <t>Radio Is Entitlement Situational = No được chọn trước Save. Sau Save có Successfully Saved và đúng tên loại phép trong danh sách; danh sách chỉ có Name và Actions.</t>
  </si>
  <si>
    <t>ASM7: sau TC_LEAVE_CONFIG_009 đã về danh sách; tên type mới chưa tồn tại.
Manual: fixture đúng trạng thái có thể chuẩn bị riêng; không mặc định cùng dependency ASM7.</t>
  </si>
  <si>
    <t>TD_LEAVE_CONFIG_01
Automation: Có kịch bản Cypress UI-driven, AAA; script coverage 75/75 ID.
Actual: Passed – các assertion UI/AAA trong case đã hoàn tất thành công.
Nguồn: regression5 / mvo3y0fj; 26/10/2026 00:34 → 26/10/2026 00:41 (+07).
Test date = ngày bắt đầu source (+07); không có timestamp riêng từng case.
Raw report thật của case: ../../../22130254/reports/regression5_mvo3y0fj.json
Fixture/hash/cleanup: Test Data!A128; canonical bc7b878bbf26…
Kết quả mới nhất qua 5 lượt; xem validation-summary.json; không phải một lượt 75 Passed.
Ảnh: PNG Passed (bấm liên kết).</t>
  </si>
  <si>
    <t>TC_LEAVE_CONFIG_002</t>
  </si>
  <si>
    <t>Thêm mới Leave Type với tùy chọn Situational = Yes</t>
  </si>
  <si>
    <t>Tiền điều kiện: Admin đã đăng nhập. Bộ fixture F_TYPE_SIT chưa tồn tại.
Input: Name=G01T01_Maternity; Is Entitlement Situational=Yes
1. Vào Leave &gt; Configure &gt; Leave Types &gt; Add.
2. Nhập Name=G01T01_Maternity.
3. Chọn radio Is Entitlement Situational=Yes.
4. Bấm Save. Mở lại bản ghi để kiểm tra.
Kết thúc: khôi phục fixture theo Test Data.</t>
  </si>
  <si>
    <t>Lưu thành công. Khi mở lại bản ghi G01T01_Maternity, radio Is Entitlement Situational được chọn là Yes.</t>
  </si>
  <si>
    <t>Manual: chuẩn bị fixture riêng ở đúng trạng thái nêu trong cột C; không lấy đầu ra ngầm của case khác. Khôi phục baseline sau case.</t>
  </si>
  <si>
    <t>TD_LEAVE_CONFIG_01
Positive;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</si>
  <si>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TC_LEAVE_CONFIG_003</t>
  </si>
  <si>
    <t>Bỏ trống trường Leave Type Name</t>
  </si>
  <si>
    <t>Tiền điều kiện: Admin đã đăng nhập.
Input: Name rỗng; Is Entitlement Situational=No
1. Vào Leave &gt; Configure &gt; Leave Types &gt; Add.
2. Để trống ô Name.
3. Bấm Save.
4. Quan sát thông báo lỗi tại form.
Kết thúc: khôi phục fixture theo Test Data.</t>
  </si>
  <si>
    <t>Trường Name hiển thị thông báo lỗi "Required". Không tạo Leave Type mới và form không đóng.</t>
  </si>
  <si>
    <t>ASM7: before suite tạo nhân viên/ESS; mở form Add Leave Type mới.
Manual: fixture đúng trạng thái có thể chuẩn bị riêng; không mặc định cùng dependency ASM7.</t>
  </si>
  <si>
    <t>TD_LEAVE_CONFIG_02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</si>
  <si>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TC_LEAVE_CONFIG_004</t>
  </si>
  <si>
    <t>Nhập Leave Type Name chỉ chứa khoảng trắng</t>
  </si>
  <si>
    <t>Tiền điều kiện: Admin đã đăng nhập.
Input: Name="   " (3 dấu cách)
1. Mở form Add Leave Type.
2. Nhập 3 dấu cách vào ô Name.
3. Bấm Save.
4. Quan sát phản hồi validation của hệ thống.
Kết thúc: khôi phục fixture theo Test Data.</t>
  </si>
  <si>
    <t>Hệ thống từ chối lưu và hiển thị thông báo lỗi "Required" hoặc không hợp lệ do chuỗi chỉ có khoảng trắng. Không tạo bản ghi.</t>
  </si>
  <si>
    <t>TD_LEAVE_CONFIG_02
Negative;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</si>
  <si>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TC_LEAVE_CONFIG_005</t>
  </si>
  <si>
    <t>Leave Type Name đúng biên tối đa 50 ký tự</t>
  </si>
  <si>
    <t>Tiền điều kiện: Admin đăng nhập; tên chưa tồn tại.
Input: Name = G01T01_ + 43 ký tự A, đúng 50 ký tự; Situational = No.
1. Mở Configure &gt; Leave Types &gt; Add.
2. Nhập chuỗi NAME_50, xác nhận độ dài 50.
3. Save; mở lại đúng bản ghi để đọc đủ tên.
Kết thúc: Manual: khôi phục baseline và chỉ dọn fixture của case. ASM7: giữ dữ liệu cho case phụ thuộc, cleanup một lần ở cuối suite.</t>
  </si>
  <si>
    <t>Lưu thành công. Khi mở Edit, Name có đúng 50 ký tự đã nhập; không mất dữ liệu dù ô danh sách có thể wrap/rút gọn.</t>
  </si>
  <si>
    <t>TD_LEAVE_CONFIG_02
Positive; Phân tích giá trị biên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</si>
  <si>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TC_LEAVE_CONFIG_006</t>
  </si>
  <si>
    <t>Leave Type Name vượt biên 50 ký tự (51 ký tự)</t>
  </si>
  <si>
    <t>Tiền điều kiện: Admin đăng nhập.
Input: Name = G01T01_ + 44 ký tự A, đúng 51 ký tự.
1. Mở Add Leave Type.
2. Nhập NAME_51 và quan sát khả năng nhập ký tự thứ 51.
3. Nếu trường nhận đủ 51 ký tự, Save để kiểm tra validation.
Kết thúc: Manual: khôi phục baseline và chỉ dọn fixture của case. ASM7: giữ dữ liệu cho case phụ thuộc, cleanup một lần ở cuối suite.</t>
  </si>
  <si>
    <t>Không lưu tên dài 51 ký tự: input chặn ký tự thứ 51 hoặc validation Should not exceed 50 characters. Nếu input chỉ nhận 50, ghi nhận chiều dài thực nhận; không coi việc lưu 50 ký tự là lưu 51.</t>
  </si>
  <si>
    <t>TD_LEAVE_CONFIG_02
Negative; Phân tích giá trị biên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</si>
  <si>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TC_LEAVE_CONFIG_007</t>
  </si>
  <si>
    <t>Nhập Leave Type Name trùng với tên loại phép đã tồn tại</t>
  </si>
  <si>
    <t>Tiền điều kiện: Admin đã đăng nhập. Loại phép F_TYPE (G01T01_Annual) đã tồn tại trong hệ thống.
Input: Name=G01T01_Annual (trùng hoàn toàn F_TYPE)
1. Mở Add Leave Type.
2. Nhập Name=G01T01_Annual.
3. Bấm Save.
Kết thúc: khôi phục fixture theo Test Data.</t>
  </si>
  <si>
    <t>Hiển thị thông báo lỗi "Already exists" tại trường Name. Hệ thống không cho phép lưu bản ghi trùng tên.</t>
  </si>
  <si>
    <t>ASM7: cần type được TC_LEAVE_CONFIG_001 tạo; giữ nguyên type.
Manual: fixture đúng trạng thái có thể chuẩn bị riêng; không mặc định cùng dependency ASM7.</t>
  </si>
  <si>
    <t>TC_LEAVE_CONFIG_008</t>
  </si>
  <si>
    <t>Lọc Employee Entitlements và đối chiếu hạn mức theo nhân viên, loại phép, kỳ</t>
  </si>
  <si>
    <t>Tiền điều kiện: Admin đăng nhập; F_EMP và F_EMP_B có entitlement cùng F_TYPE ở hai kỳ; baseline từng tổ hợp đã ghi.
Input: Employee = F_EMP; Leave Type = F_TYPE; Leave Period = 2026; tổng riêng tổ hợp này = 20 ngày.
1. Mở Entitlements &gt; Employee Entitlements.
2. Chọn F_EMP qua autocomplete, F_TYPE và kỳ 2026.
3. Search; đọc Leave Type, Valid From/To và Days của từng dòng.
4. Đối chiếu Total Days với tổng các dòng, loại trừ entitlement nhân viên/kỳ khác.
Kết thúc: Manual: khôi phục baseline và chỉ dọn fixture của case. ASM7: giữ dữ liệu cho case phụ thuộc, cleanup một lần ở cuối suite.</t>
  </si>
  <si>
    <t>Chỉ trả về entitlement đúng nhân viên, loại phép và kỳ đã chọn. Tổng Days = 20; không cộng dữ liệu F_EMP_B hoặc kỳ khác.</t>
  </si>
  <si>
    <t>TD_LEAVE_CONFIG_04
Positive; Bảng quyết định / đối chiếu số liệu
Automation: Có kịch bản Cypress UI-driven, AAA; script coverage 75/75 ID.
Actual: Passed – các assertion UI/AAA trong case đã hoàn tất thành công.
Nguồn: regression5 / mvo3y0fj; 26/10/2026 00:34 → 26/10/2026 00:41 (+07).
Test date = ngày bắt đầu source (+07); không có timestamp riêng từng case.
Raw report thật của case: ../../../22130254/reports/regression5_mvo3y0fj.json
Fixture/hash/cleanup: Test Data!A128; canonical bc7b878bbf26…
Kết quả mới nhất qua 5 lượt; xem validation-summary.json; không phải một lượt 75 Passed.
Ảnh: PNG Passed (bấm liên kết).</t>
  </si>
  <si>
    <t>TC_LEAVE_CONFIG_009</t>
  </si>
  <si>
    <t>Hủy thao tác thêm mới Leave Type</t>
  </si>
  <si>
    <t>Tiền điều kiện: Admin đã đăng nhập.
Input: Name=G01T01_CancelType
1. Mở Add Leave Type, nhập dữ liệu vào Name.
2. Bấm nút Cancel thay vì Save.
3. Tìm kiếm tên vừa nhập trong danh sách Leave Types.
Kết thúc: khôi phục fixture theo Test Data.</t>
  </si>
  <si>
    <t>Form thêm mới đóng lại, quay về danh sách Leave Types. Không xuất hiện loại phép G01T01_CancelType.</t>
  </si>
  <si>
    <t>ASM7: dùng form trống từ TC_LEAVE_CONFIG_003, nhập tên Cancel riêng.
Manual: fixture đúng trạng thái có thể chuẩn bị riêng; không mặc định cùng dependency ASM7.</t>
  </si>
  <si>
    <t>TD_LEAVE_CONFIG_03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</si>
  <si>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TC_LEAVE_CONFIG_010</t>
  </si>
  <si>
    <t>Chỉnh sửa tên Leave Type thành tên mới hợp lệ</t>
  </si>
  <si>
    <t>Tiền điều kiện: Admin đã đăng nhập. Bản ghi G01T01_Annual tồn tại.
Input: Name mới=G01T01_Annual_Updated
1. Vào Leave Types, tìm dòng G01T01_Annual, bấm icon Edit.
2. Thay đổi Name thành G01T01_Annual_Updated.
3. Bấm Save. Tải lại trang danh sách.
Kết thúc: khôi phục fixture theo Test Data.</t>
  </si>
  <si>
    <t>Thông báo "Successfully Updated". Dòng loại phép hiển thị tên mới G01T01_Annual_Updated, tên cũ không còn.</t>
  </si>
  <si>
    <t>TD_LEAVE_CONFIG_03
Positive; Chuyển trạng thái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</si>
  <si>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TC_LEAVE_CONFIG_011</t>
  </si>
  <si>
    <t>Chỉnh sửa Leave Type đổi Is Entitlement Situational từ No sang Yes</t>
  </si>
  <si>
    <t>Tiền điều kiện: Admin đã đăng nhập. Bản ghi G01T01_Annual_Updated có Situational=No.
Input: Situational đổi thành Yes
1. Mở Edit bản ghi G01T01_Annual_Updated.
2. Chọn radio Is Entitlement Situational=Yes.
3. Bấm Save. Mở lại bản ghi kiểm tra.
Kết thúc: khôi phục fixture theo Test Data.</t>
  </si>
  <si>
    <t>Lưu thành công. Radio Situational giữ giá trị Yes sau khi reload trang.</t>
  </si>
  <si>
    <t>TC_LEAVE_CONFIG_012</t>
  </si>
  <si>
    <t>Chỉnh sửa Leave Type nhưng xóa trống trường Name</t>
  </si>
  <si>
    <t>Tiền điều kiện: Admin đã đăng nhập. Bản ghi G01T01_Annual_Updated tồn tại.
Input: Name xóa rỗng
1. Mở Edit bản ghi G01T01_Annual_Updated.
2. Xóa toàn bộ nội dung trong ô Name.
3. Bấm Save.
Kết thúc: khôi phục fixture theo Test Data.</t>
  </si>
  <si>
    <t>Hiển thị lỗi "Required" tại trường Name. Hệ thống không lưu tên rỗng, dữ liệu cũ vẫn giữ nguyên khi reload.</t>
  </si>
  <si>
    <t>TD_LEAVE_CONFIG_03
Negative;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</si>
  <si>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TC_LEAVE_CONFIG_013</t>
  </si>
  <si>
    <t>Chỉnh sửa Leave Type nhưng bấm Cancel</t>
  </si>
  <si>
    <t>Tiền điều kiện: Admin đã đăng nhập. Bản ghi G01T01_Annual_Updated tồn tại.
Input: Nhập tên mới tạm thời nhưng Cancel
1. Mở Edit bản ghi, nhập tên khác.
2. Bấm nút Cancel.
3. Kiểm tra tên trong danh sách.
Kết thúc: khôi phục fixture theo Test Data.</t>
  </si>
  <si>
    <t>Đóng form chỉnh sửa. Tên bản ghi trong danh sách vẫn giữ nguyên giá trị trước khi sửa.</t>
  </si>
  <si>
    <t>TC_LEAVE_CONFIG_014</t>
  </si>
  <si>
    <t>Xóa Leave Type của nhóm và xác nhận trên modal</t>
  </si>
  <si>
    <t>Tiền điều kiện: Admin đã đăng nhập. Bản ghi fixture G01T01_DeleteType đã tạo trước.
Input: Chọn xóa dòng G01T01_DeleteType
1. Vào Leave Types, bấm icon Delete tại dòng G01T01_DeleteType.
2. Modal xác nhận hiện ra, bấm "Yes, Delete".
3. Quan sát thông báo và danh sách.
Kết thúc: khôi phục fixture theo Test Data.</t>
  </si>
  <si>
    <t>Hiển thị thông báo "Successfully Deleted". Bản ghi G01T01_DeleteType biến mất hoàn toàn khỏi danh sách.</t>
  </si>
  <si>
    <t>TC_LEAVE_CONFIG_015</t>
  </si>
  <si>
    <t>Hủy thao tác xóa Leave Type trên modal xác nhận</t>
  </si>
  <si>
    <t>Tiền điều kiện: Admin đã đăng nhập. Bản ghi G01T01_Annual_Updated tồn tại.
Input: Bấm Delete nhưng chọn No, Cancel
1. Bấm icon Delete tại dòng G01T01_Annual_Updated.
2. Trên modal xác nhận, bấm nút "No, Cancel".
3. Kiểm tra danh sách bản ghi.
Kết thúc: khôi phục fixture theo Test Data.</t>
  </si>
  <si>
    <t>Modal đóng lại. Bản ghi G01T01_Annual_Updated vẫn còn nguyên vẹn trong danh sách, không bị xóa.</t>
  </si>
  <si>
    <t>TC_LEAVE_CONFIG_016</t>
  </si>
  <si>
    <t>Thêm Leave Entitlement hợp lệ với số ngày nguyên cho nhân viên</t>
  </si>
  <si>
    <t>Tiền điều kiện: Admin đăng nhập; F_EMP/F_TYPE tồn tại; tổ hợp nhân viên, loại phép, kỳ thử nghiệm chưa có entitlement.
Input: Individual Employee; Employee = F_EMP; Leave Type = F_TYPE; Entitlement = 20; chọn kỳ sẽ xin nghỉ (ASM7: 2027).
1. Mở Entitlements &gt; Add Entitlements.
2. Chọn F_EMP qua autocomplete, F_TYPE và đúng Leave Period.
3. Nhập Entitlement = 20, Save.
4. Ở Updating Entitlement, Confirm; kiểm tra lại bảng Employee Entitlements.
Kết thúc: Manual: khôi phục baseline và chỉ dọn fixture của case. ASM7: giữ dữ liệu cho case phụ thuộc, cleanup một lần ở cuối suite.</t>
  </si>
  <si>
    <t>Successfully Saved. Bảng có đúng F_TYPE, kỳ đã chọn và Days bằng số 20; chấp nhận cách hiển thị 20 hoặc 20.00 vì giá trị số tương đương.</t>
  </si>
  <si>
    <t>ASM7: before suite tạo nhân viên; TC_LEAVE_CONFIG_001 tạo type; kỳ2027 chưa có entitlement.
Manual: fixture đúng trạng thái có thể chuẩn bị riêng; không mặc định cùng dependency ASM7.</t>
  </si>
  <si>
    <t>TD_LEAVE_CONFIG_04
Automation: Có kịch bản Cypress UI-driven, AAA; script coverage 75/75 ID.
Actual: Passed – các assertion UI/AAA trong case đã hoàn tất thành công.
Nguồn: regression5 / mvo3y0fj; 26/10/2026 00:34 → 26/10/2026 00:41 (+07).
Test date = ngày bắt đầu source (+07); không có timestamp riêng từng case.
Raw report thật của case: ../../../22130254/reports/regression5_mvo3y0fj.json
Fixture/hash/cleanup: Test Data!A128; canonical bc7b878bbf26…
Kết quả mới nhất qua 5 lượt; xem validation-summary.json; không phải một lượt 75 Passed.
Ảnh: PNG Passed (bấm liên kết).</t>
  </si>
  <si>
    <t>TC_LEAVE_CONFIG_017</t>
  </si>
  <si>
    <t>Thêm Leave Entitlement hợp lệ với số ngày thập phân (7.5 ngày)</t>
  </si>
  <si>
    <t>Tiền điều kiện: Admin đã đăng nhập. Nhân viên F_EMP và F_TYPE sẵn sàng.
Input: Employee=F_EMP; Leave Type=F_TYPE; Entitlement=7.50
1. Vào Add Entitlements.
2. Điền đầy đủ thông tin nhân viên và loại phép.
3. Nhập Entitlement=7.50. Bấm Save.
4. Mở xem chi tiết hạn mức của nhân viên.
Kết thúc: khôi phục fixture theo Test Data.</t>
  </si>
  <si>
    <t>Lưu thành công. Hạn mức được cộng thêm chính xác 7.50 Ngày vào hồ sơ của nhân viên F_EMP.</t>
  </si>
  <si>
    <t>TD_LEAVE_CONFIG_04
Positive; Phân vùng tương đương
Automation: Có kịch bản Cypress UI-driven, AAA; script coverage 75/75 ID.
Actual: Passed – các assertion UI/AAA trong case đã hoàn tất thành công.
Nguồn: regression35 / mvo2h9dk; 25/10/2026 23:53 → 26/10/2026 00:03 (+07).
Test date = ngày bắt đầu source (+07); không có timestamp riêng từng case.
Raw report thật của case: ../../../22130254/reports/regression35_mvo2h9dk.json
Fixture/hash/cleanup: Test Data!A90; canonical 1db7e116f8ac…
Kết quả mới nhất qua 5 lượt; xem validation-summary.json; không phải một lượt 75 Passed.
Ảnh: PNG Passed (bấm liên kết).</t>
  </si>
  <si>
    <t>TC_LEAVE_CONFIG_018</t>
  </si>
  <si>
    <t>Thêm Leave Entitlement nhưng bỏ trống Employee Name</t>
  </si>
  <si>
    <t>Tiền điều kiện: Admin đã đăng nhập.
Input: Employee Name rỗng; Leave Type=F_TYPE; Entitlement=10.00
1. Mở Add Entitlements.
2. Để trống ô Employee Name, chọn Leave Type và nhập số ngày.
3. Bấm Save.
Kết thúc: khôi phục fixture theo Test Data.</t>
  </si>
  <si>
    <t>Trường Employee Name hiển thị thông báo lỗi "Required". Không tạo entitlement.</t>
  </si>
  <si>
    <t>TD_LEAVE_CONFIG_05
Negative;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</si>
  <si>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TC_LEAVE_CONFIG_019</t>
  </si>
  <si>
    <t>Nhập Employee Name không tồn tại khi thêm Entitlement</t>
  </si>
  <si>
    <t>Tiền điều kiện: Admin đã đăng nhập.
Input: Employee Name="NonExistentEmployee_G01X"
1. Mở Add Entitlements.
2. Gõ "NonExistentEmployee_G01X" vào ô Employee Name.
3. Quan sát dropdown gợi ý autocomplete.
Kết thúc: khôi phục fixture theo Test Data.</t>
  </si>
  <si>
    <t>Dropdown gợi ý hiển thị "No Records Found". Hệ thống không cho phép chọn tên tự do không có trong danh sách nhân viên.</t>
  </si>
  <si>
    <t>TC_LEAVE_CONFIG_020</t>
  </si>
  <si>
    <t>Thêm Leave Entitlement nhưng không chọn Leave Type</t>
  </si>
  <si>
    <t>Tiền điều kiện: Admin đã đăng nhập. F_EMP sẵn sàng.
Input: Employee=F_EMP; Leave Type trống (-- Select --); Entitlement=10.00
1. Mở Add Entitlements.
2. Chọn F_EMP, giữ Leave Type ở trạng thái chưa chọn.
3. Nhập Entitlement=10.00, bấm Save.
Kết thúc: khôi phục fixture theo Test Data.</t>
  </si>
  <si>
    <t>Trường Leave Type hiển thị lỗi "Required". Không thực hiện lưu.</t>
  </si>
  <si>
    <t>TC_LEAVE_CONFIG_021</t>
  </si>
  <si>
    <t>Thêm Leave Entitlement nhưng để trống trường Entitlement</t>
  </si>
  <si>
    <t>Tiền điều kiện: Admin đã đăng nhập. F_EMP và F_TYPE sẵn sàng.
Input: Employee=F_EMP; Leave Type=F_TYPE; Entitlement rỗng
1. Mở Add Entitlements, chọn F_EMP và F_TYPE.
2. Để trống ô Entitlement.
3. Bấm Save.
Kết thúc: khôi phục fixture theo Test Data.</t>
  </si>
  <si>
    <t>Trường Entitlement hiển thị thông báo lỗi "Required". Không tạo entitlement.</t>
  </si>
  <si>
    <t>TC_LEAVE_CONFIG_022</t>
  </si>
  <si>
    <t>Nhập giá trị Entitlement bằng chữ hoặc ký tự không phải số</t>
  </si>
  <si>
    <t>Tiền điều kiện: Admin đã đăng nhập.
Input: Employee=F_EMP; Leave Type=F_TYPE; Entitlement="abc@#$"
1. Mở Add Entitlements.
2. Nhập chuỗi ký tự chữ và ký tự đặc biệt vào ô Entitlement.
3. Bấm Save hoặc rời trường.
Kết thúc: khôi phục fixture theo Test Data.</t>
  </si>
  <si>
    <t>Hiển thị lỗi định dạng số "Should be a number" hoặc "Expected a number". Hệ thống từ chối lưu giá trị phi số.</t>
  </si>
  <si>
    <t>TC_LEAVE_CONFIG_023</t>
  </si>
  <si>
    <t>Nhập giá trị Entitlement là số âm</t>
  </si>
  <si>
    <t>Tiền điều kiện: Admin đã đăng nhập.
Input: Employee=F_EMP; Leave Type=F_TYPE; Entitlement="-5.00"
1. Mở Add Entitlements.
2. Nhập số âm -5.00 vào ô Entitlement.
3. Bấm Save.
Kết thúc: khôi phục fixture theo Test Data.</t>
  </si>
  <si>
    <t>Hiển thị thông báo lỗi không cho phép số âm ("Should be greater than 0" hoặc "Invalid number"). Không lưu hạn mức âm.</t>
  </si>
  <si>
    <t>TD_LEAVE_CONFIG_05
Negative; Phân tích giá trị biên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</si>
  <si>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TC_LEAVE_CONFIG_024</t>
  </si>
  <si>
    <t>Nhập giá trị Entitlement có nhiều hơn 2 chữ số thập phân</t>
  </si>
  <si>
    <t>Tiền điều kiện: Admin đã đăng nhập.
Input: Employee=F_EMP; Leave Type=F_TYPE; Entitlement="10.555"
1. Mở Add Entitlements.
2. Nhập số có 3 chữ số thập phân 10.555 vào Entitlement.
3. Bấm Save.
Kết thúc: khôi phục fixture theo Test Data.</t>
  </si>
  <si>
    <t>Báo lỗi định dạng số thập phân tối đa 2 chữ số ("Should be a valid decimal" hoặc tự động làm tròn/chặn nhập). Không lưu số có 3 chữ số thập phân không hợp lệ.</t>
  </si>
  <si>
    <t>TC_LEAVE_CONFIG_025</t>
  </si>
  <si>
    <t>Hủy thao tác thêm Leave Entitlement khi đang nhập liệu</t>
  </si>
  <si>
    <t>Tiền điều kiện: Admin đã đăng nhập.
Input: Employee=F_EMP; Leave Type=F_TYPE; Entitlement=20.00
1. Mở Add Entitlements, nhập các thông tin.
2. Bấm nút Cancel thay vì Save.
3. Mở xem danh sách hạn mức của F_EMP.
Kết thúc: khôi phục fixture theo Test Data.</t>
  </si>
  <si>
    <t>Cancel quay về trang trước. Tổng entitlement của đúng nhân viên/loại phép/kỳ không tăng so với baseline; không có bản ghi mới do thao tác vừa hủy.</t>
  </si>
  <si>
    <t>TD_LEAVE_CONFIG_04
Positive;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</si>
  <si>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TC_LEAVE_SELF_001</t>
  </si>
  <si>
    <t>Nộp đơn xin nghỉ phép 1 ngày hợp lệ khi đủ hạn mức</t>
  </si>
  <si>
    <t>Tiền điều kiện: ESS đăng nhập; F_TYPE có hạn mức khả dụng ít nhất 1 ngày trong kỳ xin nghỉ; ngày chưa có đơn.
Input: F_TYPE; From Date = To Date = D0; Full Day; comments riêng theo RUN. ASM7: D0 = 2027-11-01.
1. Mở Apply; chọn F_TYPE.
2. Nhập cùng ngày làm việc D0 cho From/To theo placeholder UI; Duration mặc định Full Day.
3. Nhập Comments và Apply.
4. Mở My Leave, lọc đúng khoảng ngày/loại phép của fixture để tìm đơn.
Kết thúc: Manual: khôi phục baseline và chỉ dọn fixture của case. ASM7: giữ dữ liệu cho case phụ thuộc, cleanup một lần ở cuối suite.</t>
  </si>
  <si>
    <t>Successfully Saved. My Leave có đúng đơn D0 của nhân viên/loại phép fixture, Pending Approval và Number of Days = 1.00.</t>
  </si>
  <si>
    <t>ASM7: type/hạn mức từ CONFIG_001/016 + before SELF; D0 chưa có đơn.
Manual: fixture đúng trạng thái có thể chuẩn bị riêng; không mặc định cùng dependency ASM7.</t>
  </si>
  <si>
    <t>TD_LEAVE_SELF_01
Automation: Có kịch bản Cypress UI-driven, AAA; script coverage 75/75 ID.
Actual: Passed – các assertion UI/AAA trong case đã hoàn tất thành công.
Nguồn: regression35 / mvo2h9dk; 25/10/2026 23:53 → 26/10/2026 00:03 (+07).
Test date = ngày bắt đầu source (+07); không có timestamp riêng từng case.
Raw report thật của case: ../../../22130254/reports/regression35_mvo2h9dk.json
Fixture/hash/cleanup: Test Data!A90; canonical 1db7e116f8ac…
Kết quả mới nhất qua 5 lượt; xem validation-summary.json; không phải một lượt 75 Passed.
Ảnh: PNG Passed (bấm liên kết).</t>
  </si>
  <si>
    <t>TC_LEAVE_SELF_002</t>
  </si>
  <si>
    <t>Nộp đơn xin nghỉ phép nhiều ngày liên tiếp hợp lệ</t>
  </si>
  <si>
    <t>Tiền điều kiện: Nhân viên ESS có Leave Balance &gt;= 3 ngày tại F_TYPE.
Input: Leave Type=F_TYPE; From Date=2026-11-16; To Date=2026-11-18 (3 ngày làm việc); Comments="G01T01 3 days leave"
1. Vào Leave &gt; Apply.
2. Chọn F_TYPE, nhập From Date=2026-11-16, To Date=2026-11-18.
3. Bấm Apply.
4. Đối chiếu trong My Leave.
Kết thúc: khôi phục fixture theo Test Data.</t>
  </si>
  <si>
    <t>Nộp đơn thành công. Đơn hiển thị trong My Leave với khoảng ngày 2026-11-16 to 2026-11-18, Number of Days=3.00, Status="Pending Approval".</t>
  </si>
  <si>
    <t>TD_LEAVE_SELF_01
Positive; Phân vùng tương đương
Automation: Có kịch bản Cypress UI-driven, AAA; script coverage 75/75 ID.
Actual: Passed – các assertion UI/AAA trong case đã hoàn tất thành công.
Nguồn: regression35 / mvo2h9dk; 25/10/2026 23:53 → 26/10/2026 00:03 (+07).
Test date = ngày bắt đầu source (+07); không có timestamp riêng từng case.
Raw report thật của case: ../../../22130254/reports/regression35_mvo2h9dk.json
Fixture/hash/cleanup: Test Data!A90; canonical 1db7e116f8ac…
Kết quả mới nhất qua 5 lượt; xem validation-summary.json; không phải một lượt 75 Passed.
Ảnh: PNG Passed (bấm liên kết).</t>
  </si>
  <si>
    <t>TC_LEAVE_SELF_003</t>
  </si>
  <si>
    <t>Nộp đơn nghỉ nửa ngày buổi sáng</t>
  </si>
  <si>
    <t>Tiền điều kiện: ESS có ít nhất 0.50 ngày; 2026-11-23 là ngày làm việc đủ ngày, chưa có đơn.
Input: F_TYPE; From = To = 2026-11-23; Duration = Half Day - Morning.
1. Mở Apply và chọn F_TYPE.
2. Nhập From/To cùng ngày; chọn Half Day - Morning.
3. Apply; tìm đúng đơn trong My Leave.
4. Đối chiếu thời lượng và số dư trước/sau.
Kết thúc: Manual: khôi phục baseline và chỉ dọn fixture của case. ASM7: giữ dữ liệu cho case phụ thuộc, cleanup một lần ở cuối suite.</t>
  </si>
  <si>
    <t>Nộp thành công. Đơn Pending Approval, thời lượng nửa ngày buổi sáng, Number of Days = 0.50; số dư giảm 0.50 ngày.</t>
  </si>
  <si>
    <t>TC_LEAVE_SELF_004</t>
  </si>
  <si>
    <t>Không chọn Leave Type khi nộp đơn</t>
  </si>
  <si>
    <t>Tiền điều kiện: Đang ở trang Apply Leave.
Input: Leave Type trống (-- Select --); From Date=2026-11-10; To Date=2026-11-10
1. Vào Leave &gt; Apply.
2. Giữ nguyên ô Leave Type không chọn, nhập From Date và To Date.
3. Bấm Apply.
Kết thúc: khôi phục fixture theo Test Data.</t>
  </si>
  <si>
    <t>Trường Leave Type hiển thị lỗi "Required". Đơn không được gửi đi.</t>
  </si>
  <si>
    <t>ASM7: CONFIG_016 cấp2027; before SELF cấp thêm2026 và đăng nhập ESS.
Manual: fixture đúng trạng thái có thể chuẩn bị riêng; không mặc định cùng dependency ASM7.</t>
  </si>
  <si>
    <t>TD_LEAVE_SELF_02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</si>
  <si>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TC_LEAVE_SELF_005</t>
  </si>
  <si>
    <t>Bỏ trống trường From Date khi nộp đơn</t>
  </si>
  <si>
    <t>Tiền điều kiện: Đang ở trang Apply Leave.
Input: Leave Type=F_TYPE; From Date rỗng; To Date=2026-11-10
1. Mở Apply Leave, chọn Leave Type F_TYPE.
2. Để trống ô From Date, chỉ nhập To Date.
3. Bấm Apply.
Kết thúc: khôi phục fixture theo Test Data.</t>
  </si>
  <si>
    <t>Trường From Date hiển thị thông báo lỗi "Required". Không thể nộp đơn.</t>
  </si>
  <si>
    <t>TD_LEAVE_SELF_02
Negative;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</si>
  <si>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TC_LEAVE_SELF_006</t>
  </si>
  <si>
    <t>Bỏ trống trường To Date khi nộp đơn</t>
  </si>
  <si>
    <t>Tiền điều kiện: Đang ở trang Apply Leave.
Input: Leave Type=F_TYPE; From Date=2026-11-10; To Date rỗng
1. Mở Apply Leave, chọn Leave Type F_TYPE.
2. Nhập From Date, xóa trống ô To Date.
3. Bấm Apply.
Kết thúc: khôi phục fixture theo Test Data.</t>
  </si>
  <si>
    <t>Trường To Date hiển thị thông báo lỗi "Required". Không thể nộp đơn.</t>
  </si>
  <si>
    <t>TC_LEAVE_SELF_007</t>
  </si>
  <si>
    <t>Chọn To Date trước From Date khi nộp đơn</t>
  </si>
  <si>
    <t>Tiền điều kiện: Đang ở trang Apply Leave.
Input: Leave Type=F_TYPE; From Date=2026-11-20; To Date=2026-11-15 (To &lt; From)
1. Chọn F_TYPE.
2. Nhập From Date=2026-11-20.
3. Nhập To Date=2026-11-15.
4. Bấm Apply hoặc quan sát validation.
Kết thúc: khôi phục fixture theo Test Data.</t>
  </si>
  <si>
    <t>Trường To Date báo lỗi "To date should be after from date". Nút Apply không gửi dữ liệu.</t>
  </si>
  <si>
    <t>ASM7: tiếp tục form từ TC_LEAVE_SELF_004, chọn type và nhập ngày đảo.
Manual: fixture đúng trạng thái có thể chuẩn bị riêng; không mặc định cùng dependency ASM7.</t>
  </si>
  <si>
    <t>TD_LEAVE_SELF_03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</si>
  <si>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TC_LEAVE_SELF_008</t>
  </si>
  <si>
    <t>Nộp đơn theo giờ bằng Duration = Specify Time</t>
  </si>
  <si>
    <t>Tiền điều kiện: ESS fixture F_SHIFT_8H có ca 09:00–17:00, đủ số dư; ngày 2026-11-25 chưa có đơn.
Input: F_TYPE; From = To = 2026-11-25; Specify Time; From Time = 09:00; To Time = 11:00.
1. Mở Apply, chọn loại phép và cùng ngày.
2. Chọn Duration = Specify Time.
3. Nhập 09:00–11:00 theo định dạng giờ UI, Apply.
4. Tìm đơn trong My Leave và đối chiếu 2 giờ trên ca đủ 8 giờ.
Kết thúc: Manual: khôi phục baseline và chỉ dọn fixture của case. ASM7: giữ dữ liệu cho case phụ thuộc, cleanup một lần ở cuối suite.</t>
  </si>
  <si>
    <t>Nộp thành công. Đơn Pending Approval; thời lượng 2 giờ tương đương Number of Days = 0.25 với fixture ca 8 giờ đã xác nhận.</t>
  </si>
  <si>
    <t>TD_LEAVE_SELF_01
Positive; Phân vùng tương đương / đối chiếu thời lượng
Automation: Có kịch bản Cypress UI-driven, AAA; script coverage 75/75 ID.
Actual: Passed – các assertion UI/AAA trong case đã hoàn tất thành công.
Nguồn: regression35 / mvo2h9dk; 25/10/2026 23:53 → 26/10/2026 00:03 (+07).
Test date = ngày bắt đầu source (+07); không có timestamp riêng từng case.
Raw report thật của case: ../../../22130254/reports/regression35_mvo2h9dk.json
Fixture/hash/cleanup: Test Data!A90; canonical 1db7e116f8ac…
Kết quả mới nhất qua 5 lượt; xem validation-summary.json; không phải một lượt 75 Passed.
Ảnh: PNG Passed (bấm liên kết).</t>
  </si>
  <si>
    <t>TC_LEAVE_SELF_009</t>
  </si>
  <si>
    <t>Nhập From Date là ngày không tồn tại trên lịch</t>
  </si>
  <si>
    <t>Tiền điều kiện: Đang ở trang Apply Leave.
Input: From Date=2026-02-30 (ngày 30/02 không tồn tại); To Date=2026-03-02
1. Nhập From Date=2026-02-30 vào ô ngày.
2. Nhập To Date hợp lệ.
3. Bấm Apply.
Kết thúc: khôi phục fixture theo Test Data.</t>
  </si>
  <si>
    <t>Báo lỗi định dạng ngày không hợp lệ ("Should be a valid date" hoặc "Invalid Date"). Đơn không được chấp nhận.</t>
  </si>
  <si>
    <t>TC_LEAVE_SELF_010</t>
  </si>
  <si>
    <t>Nhập To Date là ngày không tồn tại trên lịch</t>
  </si>
  <si>
    <t>Tiền điều kiện: Đang ở trang Apply Leave.
Input: From Date=2026-04-28; To Date=2026-04-31 (tháng 4 chỉ có 30 ngày)
1. Nhập From Date hợp lệ.
2. Nhập To Date=2026-04-31.
3. Bấm Apply.
Kết thúc: khôi phục fixture theo Test Data.</t>
  </si>
  <si>
    <t>Báo lỗi định dạng ngày không hợp lệ tại ô To Date. Đơn không được chấp nhận.</t>
  </si>
  <si>
    <t>TC_LEAVE_SELF_011</t>
  </si>
  <si>
    <t>Apply không khả dụng khi nhân viên chưa có entitlement kỳ hiện tại</t>
  </si>
  <si>
    <t>Tiền điều kiện: ESS F_EMP_NOENT không có entitlement kỳ hiện tại cho bất kỳ Leave Type; không thay đổi tài khoản nhân viên khác.
Input: Tài khoản ESS riêng, chưa cấp phép kỳ hiện tại.
1. Đăng nhập F_EMP_NOENT.
2. Mở Leave &gt; Apply.
3. Quan sát thông báo và sự hiện diện của form nộp đơn.
Kết thúc: Manual: khôi phục baseline và chỉ dọn fixture của case. ASM7: giữ dữ liệu cho case phụ thuộc, cleanup một lần ở cuối suite.</t>
  </si>
  <si>
    <t>Hiển thị No Leave Types with Leave Balance. Form chọn loại phép/ngày và nút Apply không khả dụng; không thể nộp đơn.</t>
  </si>
  <si>
    <t>TD_LEAVE_SELF_03
Negative; Phân vùng tương đương – điều kiện kỳ phép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</si>
  <si>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TC_LEAVE_SELF_012</t>
  </si>
  <si>
    <t>Nộp đơn xin nghỉ trùng hoàn toàn khoảng ngày với đơn đã có</t>
  </si>
  <si>
    <t>Tiền điều kiện: Đã có đơn xin nghỉ phép ngày 2026-11-10 (TC_LEAVE_SELF_001) ở trạng thái Pending hoặc Scheduled.
Input: Leave Type=F_TYPE; From=2026-11-10; To=2026-11-10
1. Vào Apply Leave.
2. Nhập trùng ngày 2026-11-10 với đơn đã có.
3. Bấm Apply.
Kết thúc: khôi phục fixture theo Test Data.</t>
  </si>
  <si>
    <t>Hiển thị Overlapping Leave Request(s) Found, không tạo thêm đơn trùng. Tìm lại đúng nhân viên/loại phép/ngày trong My Leave và chỉ có một đơn ban đầu.</t>
  </si>
  <si>
    <t>ASM7: giữ đơn D0 Pending do TC_LEAVE_SELF_001 tạo.
Manual: fixture đúng trạng thái có thể chuẩn bị riêng; không mặc định cùng dependency ASM7.</t>
  </si>
  <si>
    <t>TC_LEAVE_SELF_013</t>
  </si>
  <si>
    <t>Nộp đơn xin nghỉ trùng một phần khoảng ngày (giao thoa 1 ngày)</t>
  </si>
  <si>
    <t>Tiền điều kiện: Đã có đơn từ 2026-11-16 đến 2026-11-18.
Input: From=2026-11-18; To=2026-11-20 (trùng ngày 18/11)
1. Mở Apply Leave.
2. Nhập khoảng ngày giao thoa với đơn cũ.
3. Bấm Apply.
Kết thúc: khôi phục fixture theo Test Data.</t>
  </si>
  <si>
    <t>Hiển thị Overlapping Leave Request(s) Found và cảnh báo từ chối nộp. Không thêm đơn mới giao thoa ngày với đơn đầu vào.</t>
  </si>
  <si>
    <t>TD_LEAVE_SELF_03
Negative; Bảng quyết định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</si>
  <si>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TC_LEAVE_SELF_014</t>
  </si>
  <si>
    <t>Nhập nội dung Comments đúng biên tối đa 250 ký tự</t>
  </si>
  <si>
    <t>Tiền điều kiện: Đang ở trang Apply Leave.
Input: Comments=chuỗi đúng 250 ký tự; ngày hợp lệ chưa trùng
1. Nhập thông tin ngày hợp lệ.
2. Dán chuỗi 250 ký tự vào trường Comments.
3. Bấm Apply. Xem đơn trong My Leave.
Kết thúc: khôi phục fixture theo Test Data.</t>
  </si>
  <si>
    <t>Đơn được gửi thành công. Comments lưu nguyên vẹn 250 ký tự mà không bị cắt bớt.</t>
  </si>
  <si>
    <t>TD_LEAVE_SELF_04
Positive; Phân tích giá trị biên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</si>
  <si>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TC_LEAVE_SELF_015</t>
  </si>
  <si>
    <t>Nhập nội dung Comments vượt biên 250 ký tự (251 ký tự)</t>
  </si>
  <si>
    <t>Tiền điều kiện: Đang ở trang Apply Leave.
Input: Comments=chuỗi 251 ký tự
1. Nhập thông tin ngày hợp lệ.
2. Dán chuỗi 251 ký tự vào Comments.
3. Bấm Apply hoặc quan sát ô nhập.
Kết thúc: khôi phục fixture theo Test Data.</t>
  </si>
  <si>
    <t>Hiển thị lỗi vượt quá độ dài "Should not exceed 250 characters" hoặc input chặn ký tự thứ 251. Không lưu chuỗi 251 ký tự.</t>
  </si>
  <si>
    <t>TD_LEAVE_SELF_04
Negative; Phân tích giá trị biên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</si>
  <si>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TC_LEAVE_SELF_016</t>
  </si>
  <si>
    <t>Xem danh sách My Leave với bộ lọc trạng thái mặc định</t>
  </si>
  <si>
    <t>Tiền điều kiện: Người dùng đã nộp ít nhất 1 đơn xin nghỉ phép.
Input: Vào trang My Leave List
1. Vào Leave &gt; My Leave.
2. Quan sát các bộ lọc mặc định và bảng kết quả.
Kết thúc: khôi phục fixture theo Test Data.</t>
  </si>
  <si>
    <t>Bảng hiển thị danh sách đơn của chính người dùng đăng nhập. Các cột Date, Employee Name, Leave Type, Leave Balance, Number of Days, Status hiển thị rõ ràng.</t>
  </si>
  <si>
    <t>TD_LEAVE_SELF_04
Positive;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</si>
  <si>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TC_LEAVE_SELF_017</t>
  </si>
  <si>
    <t>Lọc danh sách My Leave theo khoảng thời gian From Date - To Date</t>
  </si>
  <si>
    <t>Tiền điều kiện: Có các đơn nộp trong tháng 11/2026.
Input: From Date=2026-11-01; To Date=2026-11-30
1. Vào My Leave, nhập From Date và To Date tháng 11.
2. Bấm Search.
3. Kiểm tra ngày của các dòng hiển thị.
Kết thúc: khôi phục fixture theo Test Data.</t>
  </si>
  <si>
    <t>Tất cả các bản ghi trả về đều có ngày nghỉ nằm trong khoảng từ 01/11/2026 đến 30/11/2026.</t>
  </si>
  <si>
    <t>TD_LEAVE_SELF_04
Positive; Bảng quyết định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</si>
  <si>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TC_LEAVE_SELF_018</t>
  </si>
  <si>
    <t>Lọc danh sách My Leave với khoảng thời gian không có đơn</t>
  </si>
  <si>
    <t>Tiền điều kiện: Đang ở trang My Leave.
Input: From Date=2025-01-01; To Date=2025-01-05 (khoảng ngày không có đơn)
1. Nhập khoảng ngày vào bộ lọc.
2. Bấm Search.
Kết thúc: khôi phục fixture theo Test Data.</t>
  </si>
  <si>
    <t>Bảng kết quả hiển thị thông báo "No Records Found". Không có dòng dữ liệu cũ nào còn sót lại.</t>
  </si>
  <si>
    <t>TD_LEAVE_SELF_04
Negative; Phân vùng tương đương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</si>
  <si>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TC_LEAVE_SELF_019</t>
  </si>
  <si>
    <t>Lọc danh sách My Leave theo trạng thái Pending Approval</t>
  </si>
  <si>
    <t>Tiền điều kiện: Có đơn Pending Approval và đơn đã Cancelled trong My Leave.
Input: Show Leave with Status chỉ chọn duy nhất "Pending Approval"
1. Tại bộ lọc Status, xóa các trạng thái khác, chỉ để lại "Pending Approval".
2. Bấm Search.
3. Đối chiếu cột Status của mọi dòng.
Kết thúc: khôi phục fixture theo Test Data.</t>
  </si>
  <si>
    <t>Tất cả các dòng kết quả đều có giá trị cột Status là "Pending Approval", không lẫn trạng thái khác.</t>
  </si>
  <si>
    <t>TC_LEAVE_SELF_020</t>
  </si>
  <si>
    <t>Lọc danh sách My Leave theo Leave Type cụ thể</t>
  </si>
  <si>
    <t>Tiền điều kiện: Có các đơn thuộc loại F_TYPE và loại phép khác.
Input: Leave Type=F_TYPE
1. Chọn F_TYPE tại dropdown Leave Type.
2. Bấm Search.
3. Kiểm tra cột Leave Type ở tất cả các dòng.
Kết thúc: khôi phục fixture theo Test Data.</t>
  </si>
  <si>
    <t>Mọi dòng trả về đều có cột Leave Type đúng là F_TYPE.</t>
  </si>
  <si>
    <t>TC_LEAVE_SELF_021</t>
  </si>
  <si>
    <t>Reset bộ lọc trên trang My Leave</t>
  </si>
  <si>
    <t>Tiền điều kiện: Đang ở My Leave với các ô From Date, To Date đã nhập dữ liệu và chọn loại phép.
Input: Bấm nút Reset
1. Nhập From Date, To Date và chọn Leave Type.
2. Bấm Search để có kết quả lọc.
3. Bấm nút Reset.
Kết thúc: khôi phục fixture theo Test Data.</t>
  </si>
  <si>
    <t>Reset khôi phục From/To về đầu/cuối kỳ phép mặc định; Leave Type về chưa chọn và các chip trạng thái về mặc định của My Leave. Bảng tải lại theo bộ lọc mặc định, không yêu cầu ngày bị xóa rỗng.</t>
  </si>
  <si>
    <t>TD_LEAVE_SELF_04
Positive; Chuyển trạng thái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</si>
  <si>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TC_LEAVE_SELF_022</t>
  </si>
  <si>
    <t>Hủy đơn xin nghỉ phép đang ở trạng thái Pending Approval</t>
  </si>
  <si>
    <t>Tiền điều kiện: Có một đơn F_REQ_PEND ở trạng thái "Pending Approval". Ghi lại Leave Balance trước khi hủy.
Input: Bấm nút Cancel tại dòng đơn F_REQ_PEND
1. Vào My Leave, tìm đơn F_REQ_PEND.
2. Tại cột Actions, bấm nút Cancel.
3. Tải lại trang và quan sát trạng thái.
Kết thúc: khôi phục fixture theo Test Data.</t>
  </si>
  <si>
    <t>Thông báo "Successfully Updated". Trạng thái đơn chuyển từ "Pending Approval" sang "Cancelled". Số dư phép (Leave Balance) được hoàn lại số ngày của đơn.</t>
  </si>
  <si>
    <t>ASM7: đơn D0 từ SELF_001; SELF_012 không tạo thêm đơn trùng; chưa cleanup.
Manual: fixture đúng trạng thái có thể chuẩn bị riêng; không mặc định cùng dependency ASM7.</t>
  </si>
  <si>
    <t>TD_LEAVE_SELF_05
Automation: Có kịch bản Cypress UI-driven, AAA; script coverage 75/75 ID.
Actual: Passed – các assertion UI/AAA trong case đã hoàn tất thành công.
Nguồn: regression35 / mvo2h9dk; 25/10/2026 23:53 → 26/10/2026 00:03 (+07).
Test date = ngày bắt đầu source (+07); không có timestamp riêng từng case.
Raw report thật của case: ../../../22130254/reports/regression35_mvo2h9dk.json
Fixture/hash/cleanup: Test Data!A90; canonical 1db7e116f8ac…
Kết quả mới nhất qua 5 lượt; xem validation-summary.json; không phải một lượt 75 Passed.
Ảnh: PNG Passed (bấm liên kết).</t>
  </si>
  <si>
    <t>TC_LEAVE_SELF_023</t>
  </si>
  <si>
    <t>Hủy đơn xin nghỉ phép đang ở trạng thái Scheduled (đã duyệt)</t>
  </si>
  <si>
    <t>Tiền điều kiện: Có đơn F_REQ_SCHED ở trạng thái "Scheduled" (đã được Admin Approve trước đó).
Input: Bấm Cancel tại dòng F_REQ_SCHED
1. Vào My Leave, tìm đơn có Status="Scheduled".
2. Bấm nút Cancel ở cột Actions.
3. Tải lại trang kiểm tra trạng thái.
Kết thúc: khôi phục fixture theo Test Data.</t>
  </si>
  <si>
    <t>Thao tác thành công. Trạng thái đơn đổi thành "Cancelled", số ngày nghỉ được hoàn lại vào Leave Balance của nhân viên.</t>
  </si>
  <si>
    <t>TD_LEAVE_SELF_05
Positive; Chuyển trạng thái
Automation: Có kịch bản Cypress UI-driven, AAA; script coverage 75/75 ID.
Actual: Passed – các assertion UI/AAA trong case đã hoàn tất thành công.
Nguồn: regression35 / mvo2h9dk; 25/10/2026 23:53 → 26/10/2026 00:03 (+07).
Test date = ngày bắt đầu source (+07); không có timestamp riêng từng case.
Raw report thật của case: ../../../22130254/reports/regression35_mvo2h9dk.json
Fixture/hash/cleanup: Test Data!A90; canonical 1db7e116f8ac…
Kết quả mới nhất qua 5 lượt; xem validation-summary.json; không phải một lượt 75 Passed.
Ảnh: PNG Passed (bấm liên kết).</t>
  </si>
  <si>
    <t>TC_LEAVE_SELF_024</t>
  </si>
  <si>
    <t>Kiểm tra đơn đã Rejected không có tùy chọn Cancel</t>
  </si>
  <si>
    <t>Tiền điều kiện: Có đơn ở trạng thái "Rejected" (bị từ chối bởi Admin).
Input: Đơn Status="Rejected"
1. Vào My Leave, tìm đơn có Status="Rejected".
2. Quan sát cột Actions của dòng này.
Kết thúc: khôi phục fixture theo Test Data.</t>
  </si>
  <si>
    <t>Tại cột Actions của đơn Rejected không xuất hiện nút Cancel hoặc nút Cancel bị vô hiệu hóa, không thể click.</t>
  </si>
  <si>
    <t>TD_LEAVE_SELF_05
Negative; Bảng quyết định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</si>
  <si>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TC_LEAVE_SELF_025</t>
  </si>
  <si>
    <t>Kiểm tra đơn đã Taken trong quá khứ không cho phép Cancel</t>
  </si>
  <si>
    <t>Tiền điều kiện: Có đơn ở trạng thái "Taken" (kỳ nghỉ đã diễn ra xong trong quá khứ).
Input: Đơn Status="Taken"
1. Vào My Leave, lọc và tìm đơn có Status="Taken".
2. Kiểm tra thao tác tại cột Actions.
Kết thúc: khôi phục fixture theo Test Data.</t>
  </si>
  <si>
    <t>Không cho phép Cancel đơn đã Taken. Không hiển thị nút Cancel trên dòng bản ghi này.</t>
  </si>
  <si>
    <t>TD_LEAVE_SELF_05
Negative; Chuyển trạng thái
Automation: Có kịch bản Cypress UI-driven, AAA; script coverage 75/75 ID.
Actual: Passed – các assertion UI/AAA trong case đã hoàn tất thành công.
Nguồn: full75 / mvo0xyu9; 25/10/2026 23:10 → 25/10/2026 23:31 (+07).
Test date = ngày bắt đầu source (+07); không có timestamp riêng từng case.
Raw report thật của case: ../../../22130254/reports/full75_mvo0xyu9.json
Raw cũ chưa captured executed SHA; manifest không thay fingerprint thực thi.
Raw cũ thiếu support fingerprint; không gán support hiện tại.
Fixture/hash/cleanup: Test Data!A52; canonical 2648bb67aeaf…
Kết quả mới nhất qua 5 lượt; xem validation-summary.json; không phải một lượt 75 Passed.
Ảnh: PNG Passed (bấm liên kết).</t>
  </si>
  <si>
    <t>TC_LEAVE_ADMIN_001</t>
  </si>
  <si>
    <t>Tìm kiếm Leave List theo Employee Name hợp lệ qua autocomplete</t>
  </si>
  <si>
    <t>Tiền điều kiện: Admin khác ESS; có hai đơn fixture Pending Approval của F_EMP trong khoảng lọc.
Input: Employee = F_EMP qua autocomplete; From = D0; To = D2; Status = Pending Approval mặc định.
1. Mở Leave List.
2. Chờ tải danh sách và kỳ phép; nhập khoảng ngày có đơn.
3. Chọn đúng F_EMP từ autocomplete, Search.
4. Đối chiếu mỗi dòng với họ tên nhân viên và trạng thái đầu vào.
Kết thúc: Manual: khôi phục baseline và chỉ dọn fixture của case. ASM7: giữ dữ liệu cho case phụ thuộc, cleanup một lần ở cuối suite.</t>
  </si>
  <si>
    <t>Có đúng hai đơn fixture đang Pending Approval. Mọi dòng trả về thuộc F_EMP; không có đơn của nhân viên khác.</t>
  </si>
  <si>
    <t>ASM7: before ADMIN tạo2 đơn riêngD1/D2 bằng ESS, xác nhận Pending, rồi đăng nhập Admin.
Manual: fixture đúng trạng thái có thể chuẩn bị riêng; không mặc định cùng dependency ASM7.</t>
  </si>
  <si>
    <t>TD_LEAVE_ADMIN_01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</si>
  <si>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TC_LEAVE_ADMIN_002</t>
  </si>
  <si>
    <t>Tìm kiếm Leave List với Employee Name không tồn tại</t>
  </si>
  <si>
    <t>Tiền điều kiện: Admin đã đăng nhập.
Input: Employee Name="Unknown_Employee_G01X"
1. Mở Leave List.
2. Gõ tên không tồn tại vào Employee Name.
3. Quan sát gợi ý và bấm Search nếu cho phép.
Kết thúc: khôi phục fixture theo Test Data.</t>
  </si>
  <si>
    <t>Autocomplete hiển thị No Records Found và không chọn được nhân viên. Nếu Search khi còn chuỗi chưa chọn, Employee Name phải báo Invalid; bảng cũ không được coi là kết quả tìm kiếm thành công theo tên không tồn tại.</t>
  </si>
  <si>
    <t>TD_LEAVE_ADMIN_01
Negative; Phân vùng tương đương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</si>
  <si>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TC_LEAVE_ADMIN_003</t>
  </si>
  <si>
    <t>Lọc Leave List kết hợp Leave Type và trạng thái Pending Approval</t>
  </si>
  <si>
    <t>Tiền điều kiện: Admin đăng nhập; hai đơn F_EMP đang Pending Approval; bộ lọc nhân viên/ngày đã chọn đúng.
Input: Employee = F_EMP; Leave Type = F_TYPE; Show Leave with Status chỉ Pending Approval.
1. Chọn F_TYPE.
2. Xóa chip trạng thái khác, chọn riêng Pending Approval.
3. Search; kiểm tra toàn bộ dòng kết quả.
Kết thúc: Manual: khôi phục baseline và chỉ dọn fixture của case. ASM7: giữ dữ liệu cho case phụ thuộc, cleanup một lần ở cuối suite.</t>
  </si>
  <si>
    <t>Hai đơn trả về đều đúng F_TYPE và Pending Approval, đồng thời giữ đúng nhân viên/khoảng ngày đã lọc.</t>
  </si>
  <si>
    <t>ASM7: dùng bộ lọc nhân viên/ngày từ TC_LEAVE_ADMIN_001; giữ2 đơn Pending.
Manual: fixture đúng trạng thái có thể chuẩn bị riêng; không mặc định cùng dependency ASM7.</t>
  </si>
  <si>
    <t>TC_LEAVE_ADMIN_004</t>
  </si>
  <si>
    <t>Lọc Leave List theo Sub Unit của tổ chức</t>
  </si>
  <si>
    <t>Tiền điều kiện: Admin đã đăng nhập. Có nhân viên thuộc Sub Unit chỉ định (vd: SUBUNIT_A).
Input: Sub Unit=SUBUNIT_A
1. Chọn giá trị SUBUNIT_A tại dropdown Sub Unit.
2. Bấm Search. Đối chiếu danh sách.
Kết thúc: khôi phục fixture theo Test Data.</t>
  </si>
  <si>
    <t>Danh sách chỉ chứa các đơn của những nhân viên thuộc đúng Sub Unit đã chọn.</t>
  </si>
  <si>
    <t>TD_LEAVE_ADMIN_01
Positive; Phân vùng tương đương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</si>
  <si>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TC_LEAVE_ADMIN_005</t>
  </si>
  <si>
    <t>Lọc Leave List theo khoảng thời gian From Date - To Date hợp lệ</t>
  </si>
  <si>
    <t>Tiền điều kiện: Admin đã đăng nhập.
Input: From Date=2026-11-01; To Date=2026-11-30
1. Nhập From Date và To Date vào bộ lọc Leave List.
2. Bấm Search.
3. Kiểm tra ngày của các dòng trong bảng.
Kết thúc: khôi phục fixture theo Test Data.</t>
  </si>
  <si>
    <t>Tất cả các đơn hiển thị đều có ngày nghỉ rơi vào khoảng từ 01/11/2026 đến 30/11/2026.</t>
  </si>
  <si>
    <t>TC_LEAVE_ADMIN_006</t>
  </si>
  <si>
    <t>Lọc Leave List với From Date lớn hơn To Date</t>
  </si>
  <si>
    <t>Tiền điều kiện: Admin đã đăng nhập.
Input: From Date=2026-11-30; To Date=2026-11-01 (From &gt; To)
1. Nhập From Date lớn hơn To Date.
2. Bấm Search hoặc quan sát validation.
Kết thúc: khôi phục fixture theo Test Data.</t>
  </si>
  <si>
    <t>Trường To Date hiển thị lỗi "To date should be after from date". Hệ thống không thực hiện truy vấn với khoảng ngày sai.</t>
  </si>
  <si>
    <t>TD_LEAVE_ADMIN_01
Negative; Bảng quyết định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</si>
  <si>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TC_LEAVE_ADMIN_007</t>
  </si>
  <si>
    <t>Lọc đồng thời nhiều trạng thái trong Show Leave with Status</t>
  </si>
  <si>
    <t>Tiền điều kiện: Admin đã đăng nhập. Có sẵn đơn Pending Approval và đơn Scheduled.
Input: Status chọn cả hai chip: "Pending Approval" và "Scheduled"
1. Thêm cả hai trạng thái vào bộ chọn Status.
2. Bấm Search.
3. Kiểm tra các dòng kết quả.
Kết thúc: khôi phục fixture theo Test Data.</t>
  </si>
  <si>
    <t>Bảng kết quả hiển thị đồng thời các đơn có trạng thái Pending Approval và Scheduled, không hiển thị Rejected hay Cancelled.</t>
  </si>
  <si>
    <t>TD_LEAVE_ADMIN_02
Positive; Bảng quyết định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</si>
  <si>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TC_LEAVE_ADMIN_008</t>
  </si>
  <si>
    <t>Bật toggle Include Past Employees khi tìm kiếm</t>
  </si>
  <si>
    <t>Tiền điều kiện: Admin đã đăng nhập. Trong hệ thống có nhân viên đã nghỉ việc từng có đơn nghỉ phép.
Input: Bật toggle "Include Past Employees"
1. Bật toggle Include Past Employees sang trạng thái On.
2. Bấm Search.
3. Đối chiếu danh sách kết quả.
Kết thúc: khôi phục fixture theo Test Data.</t>
  </si>
  <si>
    <t>Danh sách kết quả bao gồm cả các đơn nghỉ phép lịch sử của nhân viên đã thôi việc (Past Employees).</t>
  </si>
  <si>
    <t>TD_LEAVE_ADMIN_02
Positive; Chuyển trạng thái
Automation: Có kịch bản Cypress UI-driven, AAA; script coverage 75/75 ID.
Actual: Cypress raw Failed – AxiosError: The following error originated from your application code, not from Cypress. It was caused by an unhandled promise rejection. &gt; Request failed with status code 500 When Cypress detects uncaught errors origina… Lỗi đầy đủ ở raw report.
Phân loại: lỗi thực chạy; cần đối chiếu để phân biệt script, fixture và ứng dụng.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Failed (bấm liên kết).</t>
  </si>
  <si>
    <t>TC_LEAVE_ADMIN_009</t>
  </si>
  <si>
    <t>Bấm nút Reset trên form lọc Leave List</t>
  </si>
  <si>
    <t>Tiền điều kiện: Đang ở Leave List với các trường lọc đã chọn giá trị tùy biến.
Input: Bấm nút Reset
1. Điền From Date, To Date, chọn Employee Name và Sub Unit.
2. Bấm Search.
3. Bấm nút Reset.
Kết thúc: khôi phục fixture theo Test Data.</t>
  </si>
  <si>
    <t>Reset phục hồi From/To về đầu/cuối kỳ phép mặc định; Employee Name và Sub Unit về chưa chọn; Status trở về Pending Approval; bảng tải lại. Không yêu cầu ngày rỗng.</t>
  </si>
  <si>
    <t>TD_LEAVE_ADMIN_02
Positive; Chuyển trạng thái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</si>
  <si>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TC_LEAVE_ADMIN_010</t>
  </si>
  <si>
    <t>Phê duyệt (Approve) một đơn nghỉ phép đang ở trạng thái Pending Approval</t>
  </si>
  <si>
    <t>Tiền điều kiện: Có đơn nghỉ phép F_REQ_PEND của nhân viên F_EMP ở trạng thái "Pending Approval".
Input: Click nút Approve tại dòng đơn F_REQ_PEND
1. Vào Leave List, tìm dòng F_REQ_PEND.
2. Tại cột Actions, nhấp nút Approve (hoặc chọn Approve trong menu hành động).
3. Tải lại danh sách kiểm tra.
Kết thúc: khôi phục fixture theo Test Data.</t>
  </si>
  <si>
    <t>Thông báo "Successfully Updated". Cột Status của đơn chuyển ngay từ "Pending Approval" sang "Scheduled". Nút Approve/Reject biến mất.</t>
  </si>
  <si>
    <t>ASM7: D1 của before ADMIN còn Pending; filter từ TC_LEAVE_ADMIN_003.
Manual: fixture đúng trạng thái có thể chuẩn bị riêng; không mặc định cùng dependency ASM7.</t>
  </si>
  <si>
    <t>TD_LEAVE_ADMIN_03
Automation: Có kịch bản Cypress UI-driven, AAA; script coverage 75/75 ID.
Actual: Passed – các assertion UI/AAA trong case đã hoàn tất thành công.
Nguồn: regression5 / mvo3y0fj; 26/10/2026 00:34 → 26/10/2026 00:41 (+07).
Test date = ngày bắt đầu source (+07); không có timestamp riêng từng case.
Raw report thật của case: ../../../22130254/reports/regression5_mvo3y0fj.json
Fixture/hash/cleanup: Test Data!A128; canonical bc7b878bbf26…
Kết quả mới nhất qua 5 lượt; xem validation-summary.json; không phải một lượt 75 Passed.
Ảnh: PNG Passed (bấm liên kết).</t>
  </si>
  <si>
    <t>TC_LEAVE_ADMIN_011</t>
  </si>
  <si>
    <t>Xác nhận trạng thái Scheduled sau khi Approve hiển thị đồng bộ bên Employee</t>
  </si>
  <si>
    <t>Tiền điều kiện: Có đơn riêng đã được Admin Approve thành Scheduled; ASM7 dùng đơn D1 từ TC_LEAVE_ADMIN_010.
Input: ESS của đúng F_EMP; cùng Leave Type, ngày và thời lượng đơn đã duyệt.
1. Đăng xuất Admin, đăng nhập ESS F_EMP.
2. Mở My Leave và lọc đúng kỳ/loại phép/ngày.
3. Tìm đúng đơn đã duyệt, đối chiếu với thông tin phía Admin.
Kết thúc: Manual: khôi phục baseline và chỉ dọn fixture của case. ASM7: giữ dữ liệu cho case phụ thuộc, cleanup một lần ở cuối suite.</t>
  </si>
  <si>
    <t>My Leave hiển thị Scheduled trên đúng đơn/loại phép; ngày và Number of Days khớp bản ghi Admin đã duyệt (ASM7: D1, 1.00 ngày).</t>
  </si>
  <si>
    <t>ASM7: TC_LEAVE_ADMIN_010 đã Approve D1; chuyển Admin → ESS.
Manual: fixture đúng trạng thái có thể chuẩn bị riêng; không mặc định cùng dependency ASM7.</t>
  </si>
  <si>
    <t>TD_LEAVE_ADMIN_03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</si>
  <si>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TC_LEAVE_ADMIN_012</t>
  </si>
  <si>
    <t>Từ chối (Reject) một đơn nghỉ phép đang ở trạng thái Pending Approval</t>
  </si>
  <si>
    <t>Tiền điều kiện: Có đơn nghỉ phép F_REQ_REJ ở trạng thái "Pending Approval".
Input: Click nút Reject tại dòng đơn F_REQ_REJ
1. Vào Leave List, tìm đơn F_REQ_REJ.
2. Tại cột Actions, nhấp nút Reject.
3. Tải lại trang và quan sát trạng thái.
Kết thúc: khôi phục fixture theo Test Data.</t>
  </si>
  <si>
    <t>Thông báo "Successfully Updated". Trạng thái của đơn chuyển ngay thành "Rejected".</t>
  </si>
  <si>
    <t>ASM7: D2 riêng của before ADMIN còn Pending; chuyển ESS → Admin sau ADMIN_011; không Reject D1.
Manual: fixture đúng trạng thái có thể chuẩn bị riêng; không mặc định cùng dependency ASM7.</t>
  </si>
  <si>
    <t>TD_LEAVE_ADMIN_04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</si>
  <si>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TC_LEAVE_ADMIN_013</t>
  </si>
  <si>
    <t>Kiểm tra hoàn trả hạn mức phép sau khi Admin Reject đơn</t>
  </si>
  <si>
    <t>Tiền điều kiện: Admin và ESS riêng; F_REQ_REJ_2D đang Pending Approval, đúng 2 ngày làm việc; ghi balance ngay trước Reject.
Input: Đơn riêng 2 ngày; không dùng đơn đã Approve/Reject ở case khác.
1. ESS đọc balance B_before trong đúng kỳ phép.
2. Admin lọc đúng nhân viên/loại phép/ngày và Reject F_REQ_REJ_2D.
3. Xác nhận trạng thái Rejected.
4. ESS đọc lại balance B_after của cùng kỳ.
Kết thúc: Manual: khôi phục baseline và chỉ dọn fixture của case. ASM7: giữ dữ liệu cho case phụ thuộc, cleanup một lần ở cuối suite.</t>
  </si>
  <si>
    <t>B_after = B_before + 2.00; chỉ hoàn số ngày của đơn đã Reject, không thay đổi entitlement gốc.</t>
  </si>
  <si>
    <t>TD_LEAVE_ADMIN_04
Positive; Bảng quyết định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</si>
  <si>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TC_LEAVE_ADMIN_014</t>
  </si>
  <si>
    <t>Admin thực hiện Hủy (Cancel) một đơn nghỉ phép đang Scheduled</t>
  </si>
  <si>
    <t>Tiền điều kiện: Admin có quyền Cancel; đơn fixture Scheduled ở ngày tương lai.
Input: Đơn riêng F_REQ_SCHED.
1. Lọc đúng nhân viên, loại phép, khoảng ngày và Scheduled.
2. Ở dòng fixture mở More &gt; Cancel Leave.
3. Kiểm tra lại đơn và balance cùng kỳ.
Kết thúc: Manual: khôi phục baseline và chỉ dọn fixture của case. ASM7: giữ dữ liệu cho case phụ thuộc, cleanup một lần ở cuối suite.</t>
  </si>
  <si>
    <t>Successfully Updated. Đơn chuyển Cancelled; số dư hoàn lại số ngày của đơn, không thay đổi đơn khác.</t>
  </si>
  <si>
    <t>TD_LEAVE_ADMIN_05
Positive; Chuyển trạng thái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</si>
  <si>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TC_LEAVE_ADMIN_015</t>
  </si>
  <si>
    <t>Kiểm tra không thể thực hiện Approve lại đơn đã ở trạng thái Rejected</t>
  </si>
  <si>
    <t>Tiền điều kiện: Đơn có Status="Rejected".
Input: Đơn Rejected trong Leave List
1. Lọc đơn có trạng thái "Rejected".
2. Quan sát cột Actions của bản ghi.
Kết thúc: khôi phục fixture theo Test Data.</t>
  </si>
  <si>
    <t>Không có nút Approve trên dòng đơn đã Rejected. Không thể thay đổi trạng thái từ Rejected sang Approved/Scheduled.</t>
  </si>
  <si>
    <t>TD_LEAVE_ADMIN_03
Negative; Chuyển trạng thái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</si>
  <si>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TC_LEAVE_ADMIN_016</t>
  </si>
  <si>
    <t>Kiểm tra không thể thực hiện Approve lại đơn đã ở trạng thái Cancelled</t>
  </si>
  <si>
    <t>Tiền điều kiện: Đơn có Status="Cancelled".
Input: Đơn Cancelled trong Leave List
1. Lọc đơn có trạng thái "Cancelled".
2. Quan sát các nút hành động tại cột Actions.
Kết thúc: khôi phục fixture theo Test Data.</t>
  </si>
  <si>
    <t>Không xuất hiện nút Approve đối với đơn đã Cancelled.</t>
  </si>
  <si>
    <t>TC_LEAVE_ADMIN_017</t>
  </si>
  <si>
    <t>Xem bình luận (View Comments) của nhân viên trên đơn nghỉ phép</t>
  </si>
  <si>
    <t>Tiền điều kiện: Đơn fixture có comment nhân viên; Admin được xem đơn.
Input: Đúng đơn có comment G01T01 đã ghi trong fixture.
1. Lọc/tìm đúng dòng fixture.
2. Mở chức năng Comments của đơn.
3. Đọc nội dung trong Leave Request Comments.
Kết thúc: Manual: khôi phục baseline và chỉ dọn fixture của case. ASM7: giữ dữ liệu cho case phụ thuộc, cleanup một lần ở cuối suite.</t>
  </si>
  <si>
    <t>Modal Leave Request Comments mở. Nội dung đã lưu khớp ghi chú của nhân viên; chỉ đối chiếu các thông tin tác giả/thời gian có hiển thị trên UI.</t>
  </si>
  <si>
    <t>TD_LEAVE_ADMIN_05
Positive; Phân vùng tương đương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</si>
  <si>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TC_LEAVE_ADMIN_018</t>
  </si>
  <si>
    <t>Admin thêm bình luận ghi chú mới vào đơn nghỉ phép</t>
  </si>
  <si>
    <t>Tiền điều kiện: Admin được phép ghi comment trên đơn fixture.
Input: Admin Comment = Đã xác nhận với trưởng bộ phận G01T01.
1. Mở More &gt; Add Comment hoặc Comments của đúng đơn.
2. Nhập comment trong Leave Request Comments.
3. Bấm Save, đóng rồi mở lại Comments.
Kết thúc: Manual: khôi phục baseline và chỉ dọn fixture của case. ASM7: giữ dữ liệu cho case phụ thuộc, cleanup một lần ở cuối suite.</t>
  </si>
  <si>
    <t>Lưu thành công; khi mở lại có đúng nội dung comment Admin vừa thêm, không ghi vào đơn khác.</t>
  </si>
  <si>
    <t>TC_LEAVE_ADMIN_019</t>
  </si>
  <si>
    <t>Đóng modal bình luận bằng nút Cancel/Close mà không lưu</t>
  </si>
  <si>
    <t>Tiền điều kiện: Đang mở modal Comments.
Input: Nhập text tạm thời vào ô comment nhưng bấm Close/Cancel
1. Nhập đoạn text thử nghiệm.
2. Bấm nút Cancel hoặc icon X đóng modal.
3. Mở lại modal Comments.
Kết thúc: khôi phục fixture theo Test Data.</t>
  </si>
  <si>
    <t>Modal đóng lại. Đoạn text chưa lưu bị hủy bỏ, danh sách comment cũ không bị thay đổi.</t>
  </si>
  <si>
    <t>TC_LEAVE_ADMIN_020</t>
  </si>
  <si>
    <t>Chọn checkbox header để chọn tất cả các dòng trên trang Leave List</t>
  </si>
  <si>
    <t>Tiền điều kiện: Bảng đã lọc Leave Type và kỳ của F_REQ_BULK; tất cả dòng trang hiện tại đã xác nhận thuộc fixture.
Input: Chỉ các dòng có khóa/người xin nghỉ của RUN.
1. Đối chiếu từng dòng là fixture riêng.
2. Nhấp checkbox header của trang hiện tại.
3. Quan sát các checkbox và số bản ghi được chọn.
Kết thúc: Manual: khôi phục baseline và chỉ dọn fixture của case. ASM7: giữ dữ liệu cho case phụ thuộc, cleanup một lần ở cuối suite.</t>
  </si>
  <si>
    <t>Tất cả dòng fixture trên trang hiện tại được chọn; không chọn ngầm trang khác hoặc bản ghi ngoài fixture.</t>
  </si>
  <si>
    <t>TC_LEAVE_ADMIN_021</t>
  </si>
  <si>
    <t>Thực hiện phê duyệt hàng loạt (Bulk Approve) nhiều đơn Pending Approval</t>
  </si>
  <si>
    <t>Tiền điều kiện: Admin có quyền; tối thiểu hai đơn fixture riêng đang Pending Approval, chưa dùng trong nhánh khác.
Input: F_REQ_BULK_APPROVE; hai đơn đúng nhân viên/loại phép/kỳ.
1. Lọc đúng Leave Type/kỳ của fixture; kiểm tra khóa từng dòng.
2. Tích đúng hai checkbox của đơn Pending Approval.
3. Bấm Approve trên thanh thao tác hàng loạt.
4. Xác nhận hộp thoại Approve bằng Confirm.
5. Tìm lại đúng các đơn đã chọn và đối chiếu trạng thái.
Kết thúc: Manual: khôi phục baseline và chỉ dọn fixture của case. ASM7: giữ dữ liệu cho case phụ thuộc, cleanup một lần ở cuối suite.</t>
  </si>
  <si>
    <t>Cập nhật thành công. Cả hai đơn đã chọn chuyển Scheduled; đơn không được chọn không bị thay đổi.</t>
  </si>
  <si>
    <t>TD_LEAVE_ADMIN_05
Integration; Bảng quyết định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</si>
  <si>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TC_LEAVE_ADMIN_022</t>
  </si>
  <si>
    <t>Thực hiện từ chối hàng loạt (Bulk Reject) nhiều đơn Pending Approval</t>
  </si>
  <si>
    <t>Tiền điều kiện: Admin có quyền; tối thiểu hai đơn fixture riêng đang Pending Approval, chưa dùng trong nhánh khác.
Input: F_REQ_BULK_REJECT; hai đơn đúng nhân viên/loại phép/kỳ.
1. Lọc đúng Leave Type/kỳ của fixture; kiểm tra khóa từng dòng.
2. Tích đúng hai checkbox của đơn Pending Approval.
3. Bấm Reject trên thanh thao tác hàng loạt.
4. Xác nhận hộp thoại Reject bằng Confirm.
5. Tìm lại đúng các đơn đã chọn và đối chiếu trạng thái.
Kết thúc: Manual: khôi phục baseline và chỉ dọn fixture của case. ASM7: giữ dữ liệu cho case phụ thuộc, cleanup một lần ở cuối suite.</t>
  </si>
  <si>
    <t>Cập nhật thành công. Cả hai đơn đã chọn chuyển Rejected; đơn không được chọn không bị thay đổi.</t>
  </si>
  <si>
    <t>TC_LEAVE_ADMIN_023</t>
  </si>
  <si>
    <t>Kiểm tra phân trang (Pagination) trên bảng danh sách Leave List</t>
  </si>
  <si>
    <t>Tiền điều kiện: F_PAGINATION có ít nhất 51 đơn fixture riêng; biết khóa các đơn và kích thước trang thực tế.
Input: Leave Type = F_TYPE_PAGE; kỳ chứa toàn bộ fixture; bộ lọc status phù hợp.
1. Lọc riêng dữ liệu F_PAGINATION.
2. Ghi khóa các đơn trang 1 và số trang/kích thước trang.
3. Cuộn xuống phân trang, Next hoặc chọn trang 2.
4. Đối chiếu khóa trang 2 với dữ liệu chuẩn bị và trang 1.
Kết thúc: Manual: khôi phục baseline và chỉ dọn fixture của case. ASM7: giữ dữ liệu cho case phụ thuộc, cleanup một lần ở cuối suite.</t>
  </si>
  <si>
    <t>Chuyển trang đúng, số trang được đánh dấu; bản ghi trang 2 đúng fixture tiếp theo và không trùng khóa trang 1. Nếu chưa đủ dữ liệu phân trang thì tiền điều kiện chưa đạt, không ghi Passed.</t>
  </si>
  <si>
    <t>TD_LEAVE_ADMIN_02
Positive; Phân vùng tương đương
Automation: Có kịch bản Cypress UI-driven, AAA; script coverage 75/75 ID.
Actual: Passed – các assertion UI/AAA trong case đã hoàn tất thành công.
Nguồn: regression28 / mvo2z2kz; 26/10/2026 00:07 → 26/10/2026 00:33 (+07).
Test date = ngày bắt đầu source (+07); không có timestamp riêng từng case.
Raw report thật của case: ../../../22130254/reports/regression28_mvo2z2kz.json
Fixture/hash/cleanup: Test Data!A109; canonical 0374fc8bf0bd…
Kết quả mới nhất qua 5 lượt; xem validation-summary.json; không phải một lượt 75 Passed.
Ảnh: PNG Passed (bấm liên kết).</t>
  </si>
  <si>
    <t>TC_LEAVE_ADMIN_024</t>
  </si>
  <si>
    <t>Xem chi tiết đơn bằng View Leave Details</t>
  </si>
  <si>
    <t>Tiền điều kiện: Admin được xem đơn fixture; ghi lại nhân viên, ngày, loại phép và trạng thái của dòng.
Input: Đúng dòng đơn fixture, không dùng dữ liệu khác trên demo.
1. Lọc/tìm đúng dòng Leave List.
2. Mở More &gt; View Leave Details.
3. Đối chiếu nhân viên, thông tin đơn và trạng thái từng ngày với dòng ban đầu.
4. Bấm Back để quay về danh sách.
Kết thúc: Manual: khôi phục baseline và chỉ dọn fixture của case. ASM7: giữ dữ liệu cho case phụ thuộc, cleanup một lần ở cuối suite.</t>
  </si>
  <si>
    <t>Mở trang Leave Request Details của đúng đơn. Thông tin nhân viên/đơn và trạng thái ngày khớp dữ liệu ban đầu; Back quay về danh sách.</t>
  </si>
  <si>
    <t>TD_LEAVE_ADMIN_05
Positive; Đối chiếu chi tiết và chuyển trang
Automation: Có kịch bản Cypress UI-driven, AAA; script coverage 75/75 ID.
Actual: Passed – các assertion UI/AAA trong case đã hoàn tất thành công.
Nguồn: regression5 / mvo3y0fj; 26/10/2026 00:34 → 26/10/2026 00:41 (+07).
Test date = ngày bắt đầu source (+07); không có timestamp riêng từng case.
Raw report thật của case: ../../../22130254/reports/regression5_mvo3y0fj.json
Fixture/hash/cleanup: Test Data!A128; canonical bc7b878bbf26…
Kết quả mới nhất qua 5 lượt; xem validation-summary.json; không phải một lượt 75 Passed.
Ảnh: PNG Passed (bấm liên kết).</t>
  </si>
  <si>
    <t>TC_LEAVE_ADMIN_025</t>
  </si>
  <si>
    <t>Đối chiếu tính chính xác của Number of Days và Leave Balance trên từng dòng đơn</t>
  </si>
  <si>
    <t>Tiền điều kiện: Có đơn nghỉ phép đã lưu trong Leave List.
Input: Chọn 1 dòng đơn bất kỳ để đối chiếu dữ liệu
1. Kiểm tra From Date và To Date của đơn (vd: 3 ngày làm việc).
2. Đối chiếu cột Number of Days.
3. Đối chiếu cột Leave Balance (Days) với hạn mức gốc trừ đi số ngày đã nghỉ.
Kết thúc: khôi phục fixture theo Test Data.</t>
  </si>
  <si>
    <t>Number of Days khớp lịch làm việc và thời lượng đơn (trừ ngày không làm việc/điều chỉnh nửa ngày). Leave Balance khớp entitlement trừ các ngày đã phân bổ/đã nghỉ trong cùng kỳ tại lúc kiểm tra; không giả định chỉ trừ duy nhất đơn đang xem.</t>
  </si>
  <si>
    <t>LEAVE TEST DATA</t>
  </si>
  <si>
    <t>Data ID</t>
  </si>
  <si>
    <t>Giá trị / fixture</t>
  </si>
  <si>
    <t>Cách chuẩn bị</t>
  </si>
  <si>
    <t>Sử dụng</t>
  </si>
  <si>
    <t>Dọn dẹp / khôi phục</t>
  </si>
  <si>
    <t>Quy tắc</t>
  </si>
  <si>
    <t>RUN</t>
  </si>
  <si>
    <t>G01T01 (tên); G1T01 (tiền tố ID)</t>
  </si>
  <si>
    <t>Đổi T01 thành mã lần chạy chưa dùng. Các ID và tên mẫu trong TC đổi đồng nhất. Kiểm tra không trùng trước setup.</t>
  </si>
  <si>
    <t>Toàn bộ 75 TC</t>
  </si>
  <si>
    <t>Ghi lại ID và tên Leave Type để dọn dẹp sau khi chạy.</t>
  </si>
  <si>
    <t>Chỉ dùng dữ liệu giả của nhóm.</t>
  </si>
  <si>
    <t>ACCOUNT</t>
  </si>
  <si>
    <t>Admin / admin123</t>
  </si>
  <si>
    <t>Dùng thông tin demo hiển thị tại trang đăng nhập. Không dùng tài khoản thật.</t>
  </si>
  <si>
    <t>Tiền điều kiện chung</t>
  </si>
  <si>
    <t>Không đổi mật khẩu, không khóa tài khoản demo.</t>
  </si>
  <si>
    <t>Kết quả gần nhất qua lượt đầy đủ và hồi quy: 74 Passed, 1 Failed, 0 Untested, 0 Blocked; script 75/75 khác kết quả executed.</t>
  </si>
  <si>
    <t>F_EMP</t>
  </si>
  <si>
    <t>ID=G1T01E0001; First=G01T01; Last=ThanhLeave</t>
  </si>
  <si>
    <t>Tạo trước bằng PIM &gt; Add Employee và Create Login Details (ESS); ghi ID/họ tên/tài khoản. Người xin nghỉ phải khác Admin duyệt.</t>
  </si>
  <si>
    <t>LEAVE_CONFIG (Entitlements); LEAVE_SELF; LEAVE_ADMIN</t>
  </si>
  <si>
    <t>Xóa nhân viên fixture của nhóm sau khi hoàn thành và lưu bằng chứng.</t>
  </si>
  <si>
    <t>Nhân viên phải thực sự tồn tại.</t>
  </si>
  <si>
    <t>F_TYPE</t>
  </si>
  <si>
    <t>Name=G01T01_Annual; Is Entitlement Situational=No</t>
  </si>
  <si>
    <t>Tạo trước nếu case cần loại phép có sẵn. Riêng TC_LEAVE_CONFIG_001 yêu cầu tên chưa tồn tại và chính case tạo loại phép.</t>
  </si>
  <si>
    <t>TC_LEAVE_CONFIG_001, 007, 010, 016; toàn bộ LEAVE_SELF và ADMIN</t>
  </si>
  <si>
    <t>Xóa loại phép fixture của nhóm sau run.</t>
  </si>
  <si>
    <t>Không sửa/xóa các Leave Type mặc định có sẵn (vd: US - Vacation, CAN - FMLA).</t>
  </si>
  <si>
    <t>F_TYPE_SIT</t>
  </si>
  <si>
    <t>Name=G01T01_Maternity; Is Entitlement Situational=Yes</t>
  </si>
  <si>
    <t>Riêng TC_LEAVE_CONFIG_002, tên phải chưa tồn tại; case chọn Yes và tạo. Không precreate bản ghi trùng tên.</t>
  </si>
  <si>
    <t>Dùng để kiểm thử tính chất Situational.</t>
  </si>
  <si>
    <t>F_ENTITLE</t>
  </si>
  <si>
    <t>Employee=F_EMP; Leave Type=F_TYPE; 20.00 ngày/kỳ. Manual: kỳ 2026 hoặc kỳ nêu riêng trong case. ASM7: 20 ngày ở 2026 và 20 ngày ở 2027.</t>
  </si>
  <si>
    <t>Cấp đúng nhân viên, loại phép và kỳ qua Add Entitlements, Save &gt; Confirm. Ghi baseline của từng kỳ; fixture ASM7 dùng hai kỳ riêng.</t>
  </si>
  <si>
    <t>Toàn bộ LEAVE_SELF và LEAVE_ADMIN</t>
  </si>
  <si>
    <t>Khôi phục hạn mức ban đầu sau các ca test nộp đơn.</t>
  </si>
  <si>
    <t>Hạn mức và ngày xin nghỉ phải cùng kỳ; đọc balance của đúng kỳ, không cộng các kỳ.</t>
  </si>
  <si>
    <t>F_REQ_PEND</t>
  </si>
  <si>
    <t>Đơn nghỉ phép của F_EMP; ngày 2026-11-10 đến 2026-11-10 (1 ngày); Status=Pending Approval</t>
  </si>
  <si>
    <t>Nộp trước qua Apply Leave hoặc fixture setup.</t>
  </si>
  <si>
    <t>LEAVE_ADMIN (Approve/Reject); LEAVE_SELF_022</t>
  </si>
  <si>
    <t>Dọn dẹp bản ghi đơn sau test.</t>
  </si>
  <si>
    <t>Mỗi nhánh kiểm thử trạng thái dùng đơn riêng.</t>
  </si>
  <si>
    <t>F_REQ_SCHED</t>
  </si>
  <si>
    <t>Đơn nghỉ phép của F_EMP; ngày 2026-12-01 đến 2026-12-02 (2 ngày); Status=Scheduled</t>
  </si>
  <si>
    <t>Nộp và Approve trước qua Admin để đạt trạng thái Scheduled.</t>
  </si>
  <si>
    <t>LEAVE_SELF_023; LEAVE_ADMIN_014</t>
  </si>
  <si>
    <t>Dọn dẹp bản ghi sau test.</t>
  </si>
  <si>
    <t>Đơn Scheduled dùng để test Cancel.</t>
  </si>
  <si>
    <t>F_FILTER_A / B</t>
  </si>
  <si>
    <t>Hai đơn nghỉ phép của 2 nhân viên khác nhau (F_EMP và F_EMP_B) thuộc 2 Sub Unit khác nhau</t>
  </si>
  <si>
    <t>Tạo trước 2 nhân viên và nộp đơn riêng biệt; ghi nhận nhãn Sub Unit thực tế trên UI.</t>
  </si>
  <si>
    <t>TC_LEAVE_ADMIN_001, 003, 004</t>
  </si>
  <si>
    <t>Khôi phục và xóa 2 fixture sau run.</t>
  </si>
  <si>
    <t>Kiểm tra tính độc lập và chính xác của bộ lọc.</t>
  </si>
  <si>
    <t>NAME_50</t>
  </si>
  <si>
    <t>G01T01_AAAAAAAAAAAAAAAAAAAAAAAAAAAAAAAAAAAAAAAAAAA</t>
  </si>
  <si>
    <t>Tiền tố G01T01_ dài 7; thêm 43 ký tự A, tổng đúng 50. Đếm LEN trước khi nhập.</t>
  </si>
  <si>
    <t>Xóa loại phép sau test.</t>
  </si>
  <si>
    <t>Biên tối đa 50 ký tự theo quy định hệ thống.</t>
  </si>
  <si>
    <t>NAME_51</t>
  </si>
  <si>
    <t>G01T01_AAAAAAAAAAAAAAAAAAAAAAAAAAAAAAAAAAAAAAAAAAAA</t>
  </si>
  <si>
    <t>Tiền tố G01T01_ dài 7; thêm 44 ký tự A, tổng đúng 51. Ghi độ dài input thực nhận.</t>
  </si>
  <si>
    <t>Không lưu vào hệ thống.</t>
  </si>
  <si>
    <t>Vượt biên 50 ký tự.</t>
  </si>
  <si>
    <t>COMM_250</t>
  </si>
  <si>
    <t>AAAAAAAAAAAAAAAAAAAAAAAAAAAAAAAAAAAAAAAAAAAAAAAAAAAAAAAAAAAAAAAAAAAAAAAAAAAAAAAAAAAAAAAAAAAAAAAAAAAAAAAAAAAAAAAAAAAAAAAAAAAAAAAAAAAAAAAAAAAAAAAAAAAAAAAAAAAAAAAAAAAAAAAAAAAAAAAAAAAAAAAAAAAAAAAAAAAAAAAAAAAAAAAAAAAAAAAAAAAAAAAAAAAAAAAAAAAAAAAAAAAAAAAAAA</t>
  </si>
  <si>
    <t>Tạo chuỗi đúng 250 ký tự không xuống dòng.</t>
  </si>
  <si>
    <t>Không giữ ghi chú rác sau test.</t>
  </si>
  <si>
    <t>Biên tối đa của Comments.</t>
  </si>
  <si>
    <t>COMM_251</t>
  </si>
  <si>
    <t>AAAAAAAAAAAAAAAAAAAAAAAAAAAAAAAAAAAAAAAAAAAAAAAAAAAAAAAAAAAAAAAAAAAAAAAAAAAAAAAAAAAAAAAAAAAAAAAAAAAAAAAAAAAAAAAAAAAAAAAAAAAAAAAAAAAAAAAAAAAAAAAAAAAAAAAAAAAAAAAAAAAAAAAAAAAAAAAAAAAAAAAAAAAAAAAAAAAAAAAAAAAAAAAAAAAAAAAAAAAAAAAAAAAAAAAAAAAAAAAAAAAAAAAAAAA</t>
  </si>
  <si>
    <t>Tạo chuỗi đúng 251 ký tự.</t>
  </si>
  <si>
    <t>Vượt biên 250 ký tự.</t>
  </si>
  <si>
    <t>DATES</t>
  </si>
  <si>
    <t>2026-11-10 đến 2026-11-12; 2026-12-01 đến 2026-12-02</t>
  </si>
  <si>
    <t>Nhập theo định dạng hiển thị thực tế trên UI (yyyy-dd-mm hoặc yyyy-mm-dd).</t>
  </si>
  <si>
    <t>Toàn bộ Apply và Leave List</t>
  </si>
  <si>
    <t>Ghi nhận và khôi phục ngày sau run.</t>
  </si>
  <si>
    <t>Ngày mẫu dùng cho manual; ASM7 chọn ngày làm việc kỳ năm sau và ghi ISO/date format thực tế theo RUN.</t>
  </si>
  <si>
    <t>RESTORE</t>
  </si>
  <si>
    <t>Quy tắc khôi phục và dọn dẹp sau từng ca kiểm thử</t>
  </si>
  <si>
    <t>Manual: chuẩn bị trạng thái riêng từng case và khôi phục baseline sau case. ASM7: dependency tuần tự ghi ở cột E; không dọn dữ liệu dùng chung giữa các case.</t>
  </si>
  <si>
    <t>Đảm bảo độc lập giữa các TC</t>
  </si>
  <si>
    <t>ASM7 xóa đúng nhân viên rồi loại phép ở hook cuối; manual chỉ dọn khóa fixture của case. Không xóa danh mục/tài khoản có sẵn.</t>
  </si>
  <si>
    <t>Tuyệt đối không can thiệp vào dữ liệu của người khác.</t>
  </si>
  <si>
    <t>STATUS</t>
  </si>
  <si>
    <t>Passed, Failed, Untested, Blocked, Skipped</t>
  </si>
  <si>
    <t>Passed: mọi expected được kiểm chứng đúng. Failed: có ít nhất 1 expected sai. Blocked: lỗi môi trường/tiền điều kiện.</t>
  </si>
  <si>
    <t>Cột Result và Test Report</t>
  </si>
  <si>
    <t>Untested: chưa chạy. Skipped: chủ động không chạy kèm lý do.</t>
  </si>
  <si>
    <t>Chỉ cập nhật Result khi thực thi thật.</t>
  </si>
  <si>
    <t>EVIDENCE</t>
  </si>
  <si>
    <t>Case ID; actual; thời gian; browser/version; đường dẫn screenshot/log</t>
  </si>
  <si>
    <t>Ghi nhật ký thực tế và ảnh chụp màn hình khi chạy test automation hoặc manual.</t>
  </si>
  <si>
    <t>Tất cả các TC đã thực thi</t>
  </si>
  <si>
    <t>Không tạo link hoặc dữ liệu minh chứng giả.</t>
  </si>
  <si>
    <t>Phân biệt rõ lỗi do script hay lỗi của ứng dụng demo.</t>
  </si>
  <si>
    <t>BASELINE</t>
  </si>
  <si>
    <t>OrangeHRM Open Source 5.9; ngày phân tích 21/10/2026</t>
  </si>
  <si>
    <t>Đối chiếu trực tiếp trên hệ thống demo và mã nguồn client OrangeHRM 5.9.</t>
  </si>
  <si>
    <t>Độ dài trường, validation, quy trình phê duyệt Leave</t>
  </si>
  <si>
    <t>Môi trường demo công khai có thể bị reset định kỳ.</t>
  </si>
  <si>
    <t>Kiểm thử chức năng an toàn; không pentest, không load test.</t>
  </si>
  <si>
    <t>Nguồn chính thức</t>
  </si>
  <si>
    <t>URL</t>
  </si>
  <si>
    <t>Nội dung đối chiếu</t>
  </si>
  <si>
    <t>Leave Types, Entitlements, Apply/My Leave, Leave List và Request Actions.</t>
  </si>
  <si>
    <t>Demo công khai có thể reset và bị người khác thay đổi.</t>
  </si>
  <si>
    <t>Kiểm thử chức năng, không scan bảo mật hay load test.</t>
  </si>
  <si>
    <t>Website Demo</t>
  </si>
  <si>
    <t>Giao diện thực tế môi trường kiểm thử OrangeHRM OS 5.9</t>
  </si>
  <si>
    <t>Đối chiếu UI Leave, validation, trạng thái đơn, thời lượng, bộ lọc và thông báo.</t>
  </si>
  <si>
    <t>Sau case, xóa riêng nhân viên đã tạo sau khi giữ bằng chứng.</t>
  </si>
  <si>
    <t>Giá trị nêu riêng trong TC được ưu tiên.</t>
  </si>
  <si>
    <t>LEAVE_CONFIG - Leave Types</t>
  </si>
  <si>
    <t>https://github.com/orangehrm/orangehrm/blob/v5.9/src/client/src/orangehrmLeavePlugin/pages/leaveType/SaveLeaveType.vue</t>
  </si>
  <si>
    <t>Tên bắt buộc, giới hạn độ dài 50 ký tự, kiểm tra trùng lặp và tính chất Situational</t>
  </si>
  <si>
    <t>LEAVE_CONFIG - Entitlements</t>
  </si>
  <si>
    <t>https://github.com/orangehrm/orangehrm/blob/v5.9/src/client/src/orangehrmLeavePlugin/pages/entitlements/AddEntitlement.vue</t>
  </si>
  <si>
    <t>Cấp hạn mức cá nhân/hàng loạt, autocomplete nhân viên, định dạng số thập phân</t>
  </si>
  <si>
    <t>LEAVE_SELF - Apply Leave</t>
  </si>
  <si>
    <t>https://github.com/orangehrm/orangehrm/blob/v5.9/src/client/src/orangehrmLeavePlugin/pages/LeaveApply.vue</t>
  </si>
  <si>
    <t>Chọn loại phép, tính toán Leave Balance, kiểm tra khoảng ngày, giới hạn Comments và lỗi Overlapping Request</t>
  </si>
  <si>
    <t>LEAVE_SELF / ADMIN - Leave List</t>
  </si>
  <si>
    <t>https://github.com/orangehrm/orangehrm/blob/v5.9/src/client/src/orangehrmLeavePlugin/components/LeaveListTable.vue</t>
  </si>
  <si>
    <t>Bảng dùng cho LeaveList.vue/MyLeaveList.vue; lọc, trạng thái, actions và modal.</t>
  </si>
  <si>
    <t>Validation Rules</t>
  </si>
  <si>
    <t>https://github.com/orangehrm/orangehrm/blob/v5.9/src/client/src/core/util/validation/rules.ts</t>
  </si>
  <si>
    <t>Quy tắc kiểm tra dữ liệu: bắt buộc (required), kiểm tra ngày hợp lệ, ngày kết thúc sau ngày bắt đầu, khoảng trắng</t>
  </si>
  <si>
    <t>FIXTURES BỔ SUNG VÀ DỮ LIỆU THỰC THI ASM7</t>
  </si>
  <si>
    <t>F_EMP_B</t>
  </si>
  <si>
    <t>ID=G1T01E0002; First=G01T01; Last=ThanhLeaveB; ESS riêng.</t>
  </si>
  <si>
    <t>Tạo nhân viên thứ hai; cấp entitlement riêng và gán SUBUNIT_B.</t>
  </si>
  <si>
    <t>Lọc Entitlements/Sub Unit; F_FILTER_B.</t>
  </si>
  <si>
    <t>Chỉ xóa nhân viên thứ hai của RUN.</t>
  </si>
  <si>
    <t>Không dùng nhân viên demo của người khác.</t>
  </si>
  <si>
    <t>F_SUBUNIT_A/B</t>
  </si>
  <si>
    <t>Hai nhãn Sub Unit có sẵn, khác nhau; ghi giá trị UI trước chạy.</t>
  </si>
  <si>
    <t>Gán F_EMP vào A, F_EMP_B vào B qua PIM &gt; Job; ghi baseline.</t>
  </si>
  <si>
    <t>TC_LEAVE_ADMIN_004; F_FILTER_A/B.</t>
  </si>
  <si>
    <t>Khôi phục gán nhân viên hoặc xóa fixture; không xóa Sub Unit có sẵn.</t>
  </si>
  <si>
    <t>Đối chiếu quan hệ nhân viên–đơn vị.</t>
  </si>
  <si>
    <t>F_TYPE_UPDATED / DELETE / CANCEL</t>
  </si>
  <si>
    <t>G01T01_Annual_Updated (No); G01T01_DeleteType; G01T01_CancelType.</t>
  </si>
  <si>
    <t>UPDATED/DELETE: tạo riêng ở trạng thái đầu vào. CANCEL: chỉ nhập trên form, không precreate.</t>
  </si>
  <si>
    <t>TC_LEAVE_CONFIG_010–015, 009.</t>
  </si>
  <si>
    <t>Dọn từng tên fixture sau case; khôi phục radio/name nếu còn dùng.</t>
  </si>
  <si>
    <t>Không phụ thuộc ngầm case sửa/tạo trước.</t>
  </si>
  <si>
    <t>F_REQ_REJ / REJECTED</t>
  </si>
  <si>
    <t>REJ: 2026-11-24, 1 ngày Pending. REJ_2D: 2026-12-03..04, 2 ngày Pending. REJECTED: đơn riêng đã Reject.</t>
  </si>
  <si>
    <t>ESS Apply và Admin Reject để chuẩn bị trạng thái cần thiết; ghi khóa đơn.</t>
  </si>
  <si>
    <t>ADMIN_012/013/015; SELF_024.</t>
  </si>
  <si>
    <t>Hủy/xóa fixture riêng; không dùng lại đơn giữa hai nhánh.</t>
  </si>
  <si>
    <t>Không dùng đơn Scheduled cho case Reject Pending.</t>
  </si>
  <si>
    <t>F_REQ_TAKEN</t>
  </si>
  <si>
    <t>Đơn riêng ở ngày làm việc quá khứ trong kỳ đã cấp; UI xác nhận Taken.</t>
  </si>
  <si>
    <t>ESS Apply ngày quá khứ, Admin Approve; xác nhận trạng thái Taken và quyền ESS trước case.</t>
  </si>
  <si>
    <t>TC_LEAVE_SELF_025.</t>
  </si>
  <si>
    <t>Dọn đúng đơn/nhân viên sau case.</t>
  </si>
  <si>
    <t>Không sửa ngày hệ thống hoặc sửa CSDL để giả trạng thái.</t>
  </si>
  <si>
    <t>F_REQ_OVERLAP</t>
  </si>
  <si>
    <t>Đơn Pending/Scheduled 2026-11-16..18; đơn mới giao thoa ngày 18.</t>
  </si>
  <si>
    <t>Chuẩn bị đơn đầu vào riêng, đủ entitlement; ghi baseline số đơn.</t>
  </si>
  <si>
    <t>TC_LEAVE_SELF_012/013.</t>
  </si>
  <si>
    <t>Hủy đơn đầu vào và dọn fixture sau case manual.</t>
  </si>
  <si>
    <t>Ngày không được có đơn khác ngoài fixture.</t>
  </si>
  <si>
    <t>F_REQ_BULK</t>
  </si>
  <si>
    <t>Ít nhất 2 đơn Pending riêng mỗi nhánh; F_TYPE_BULK có tiền tố RUN.</t>
  </si>
  <si>
    <t>Tạo các đơn qua ESS; lọc type/kỳ và đối chiếu khóa tất cả dòng trước chọn.</t>
  </si>
  <si>
    <t>ADMIN_020/021/022.</t>
  </si>
  <si>
    <t>Dọn đúng các đơn/nhân viên/loại phép của nhánh.</t>
  </si>
  <si>
    <t>Select All chỉ trang hiện tại có toàn fixture; không tác động đơn ngoài RUN.</t>
  </si>
  <si>
    <t>F_PAGINATION</t>
  </si>
  <si>
    <t>F_TYPE_PAGE; ≥51 đơn fixture; ghi khóa và page size thực tế; entitlement đủ ngày.</t>
  </si>
  <si>
    <t>Chuẩn bị bộ dữ liệu riêng, lọc F_TYPE_PAGE/kỳ/status trước kiểm tra phân trang.</t>
  </si>
  <si>
    <t>TC_LEAVE_ADMIN_023.</t>
  </si>
  <si>
    <t>Dọn bộ fixture theo khóa đã ghi.</t>
  </si>
  <si>
    <t>Chưa đủ số dòng: tiền điều kiện chưa đạt; không ghi Passed.</t>
  </si>
  <si>
    <t>F_EMP_PAST</t>
  </si>
  <si>
    <t>Nhân viên fixture đã Terminate, còn hồ sơ và đơn lịch sử.</t>
  </si>
  <si>
    <t>Tạo nhân viên/đơn trước; Terminate qua PIM Job; không Delete trước case.</t>
  </si>
  <si>
    <t>TC_LEAVE_ADMIN_008.</t>
  </si>
  <si>
    <t>Delete đúng fixture sau khi lưu bằng chứng.</t>
  </si>
  <si>
    <t>Terminate khác Delete; Delete có thể xóa dữ liệu liên kết.</t>
  </si>
  <si>
    <t>F_SHIFT_8H</t>
  </si>
  <si>
    <t>Ca đủ 8 giờ, 09:00–17:00; ngày làm việc đầy đủ.</t>
  </si>
  <si>
    <t>Gán ca phù hợp cho nhân viên và xác nhận giờ trên UI trước test.</t>
  </si>
  <si>
    <t>TC_LEAVE_SELF_008.</t>
  </si>
  <si>
    <t>Khôi phục gán ca hoặc xóa nhân viên fixture.</t>
  </si>
  <si>
    <t>2 giờ / 8 giờ = 0.25 ngày; không giả định ca chưa xác nhận.</t>
  </si>
  <si>
    <t>F_EMP_NOENT</t>
  </si>
  <si>
    <t>ESS riêng chưa có entitlement cho bất kỳ loại phép ở kỳ hiện tại.</t>
  </si>
  <si>
    <t>Tạo nhân viên và ESS riêng, không cấp current-period entitlement.</t>
  </si>
  <si>
    <t>TC_LEAVE_SELF_011.</t>
  </si>
  <si>
    <t>Delete đúng nhân viên/tài khoản fixture sau case.</t>
  </si>
  <si>
    <t>Không xóa entitlement của người khác để tạo tiền điều kiện.</t>
  </si>
  <si>
    <t>ASM7_RUN</t>
  </si>
  <si>
    <t>Aggregate_20261025T1610_20261025T1741; 2026-10-25T23:10:35+07:00 → 2026-10-26T00:41:26+07:00.</t>
  </si>
  <si>
    <t>full75/mvo0xyu9 (40 case): ID=944636005, 944636006, 944636007, 944636008; snapshot createdDuringRun=true: 4/4; terminated=true: 0/4.
regression35/mvo1y2ei (0 case): ID=946319928, 946319929, 946319930, 946319931; snapshot createdDuringRun=true: 3/4; terminated=true: 0/4.
regression35/mvo2h9dk (7 case): ID=947215432, 947215433, 947215434, 947215435; snapshot createdDuringRun=true: 4/4; terminated=true: 0/4.
regression28/mvo2z2kz (23 case): ID=948046422, 948046423, 948046424, 948046425; snapshot createdDuringRun=true: 4/4; terminated=true: 0/4.
regression5/mvo3y0fj (5 case): ID=949676547, 949676548, 949676549, 949676550; snapshot createdDuringRun=true: 3/4; terminated=true: 0/4.</t>
  </si>
  <si>
    <t>Kết quả gần nhất qua lượt đầy đủ và hồi quy: 74 Passed, 1 Failed, 0 Untested, 0 Blocked. Tổng hợp kết quả gần nhất từng case từ lượt đầy đủ và các lượt hồi quy trên source SHA khác nhau; không phải một lượt đầy đủ duy nhất đạt 75/75. Snapshot nguồn full v6 không còn, không xác minh byte-for-byte nguồn đó; raw source hash và giới hạn review được công bố.</t>
  </si>
  <si>
    <t>full75/mvo0xyu9 (40 case): attempted=true; completed=true.
regression35/mvo1y2ei (0 case): attempted=false; completed=false.
regression35/mvo2h9dk (7 case): attempted=true; completed=false.
regression28/mvo2z2kz (23 case): attempted=true; completed=true.
regression5/mvo3y0fj (5 case): attempted=true; completed=true.
Đối chiếu bổ sung: Hook v6/v9/v10 hoàn tất; v7/v8 đã dọn lại qua UI ngày 26/10/2026 lúc 00:48 (+07), xóa đúng 16 khóa fixture. Xem 22130254/reports/cleanup_old_runs.json; raw lịch sử giữ nguyên cleanup thất bại.</t>
  </si>
  <si>
    <t>Run ID từ runData đã xác nhận timestamp trong lượt chạy, --run-id hoặc startedAt reporter; khóa fixture chưa chứng minh case Passed.</t>
  </si>
  <si>
    <t>ASM7_ENTITLEMENTS</t>
  </si>
  <si>
    <t>full75/mvo0xyu9 (40 case): 3 kỳ UI; ISO ở block nguồn, Days xem PNG CONFIG.
regression35/mvo1y2ei (0 case): 3 kỳ UI; ISO ở block nguồn, Days xem PNG CONFIG.
regression35/mvo2h9dk (7 case): 3 kỳ UI; ISO ở block nguồn, Days xem PNG CONFIG.
regression28/mvo2z2kz (23 case): 3 kỳ UI; ISO ở block nguồn, Days xem PNG CONFIG.
regression5/mvo3y0fj (5 case): 3 kỳ UI; ISO ở block nguồn, Days xem PNG CONFIG.</t>
  </si>
  <si>
    <t>CONFIG_016 kiểm chứng cấp 20 ngày; script chuẩn bị thêm hạn mức riêng cho các nhánh và bộ dữ liệu phân trang.</t>
  </si>
  <si>
    <t>SELF/ADMIN thuộc suite ASM7.</t>
  </si>
  <si>
    <t>Xóa nhân viên làm dọn entitlement liên kết.</t>
  </si>
  <si>
    <t>Balance phải đối chiếu đúng kỳ, không cộng 20+20 thành 40 cho một kỳ.</t>
  </si>
  <si>
    <t>ASM7_DATES</t>
  </si>
  <si>
    <t>full75/mvo0xyu9 (40 case): Lịch theo dõi 100 ngày; chưa xác nhận tạo đơn; ISO ở block nguồn.
regression35/mvo1y2ei (0 case): Lịch theo dõi 100 ngày; chưa xác nhận tạo đơn; ISO ở block nguồn.
regression35/mvo2h9dk (7 case): Lịch theo dõi 100 ngày; chưa xác nhận tạo đơn; ISO ở block nguồn.
regression28/mvo2z2kz (23 case): Lịch theo dõi 100 ngày; chưa xác nhận tạo đơn; ISO ở block nguồn.
regression5/mvo3y0fj (5 case): Lịch theo dõi 100 ngày; chưa xác nhận tạo đơn; ISO ở block nguồn.</t>
  </si>
  <si>
    <t>Ngày được nhập theo placeholder tài khoản; My Leave/Leave List lọc đúng kỳ, loại phép và fixture riêng.</t>
  </si>
  <si>
    <t>Apply Leave, My Leave, Leave List và các Request Actions trong script 75 case.</t>
  </si>
  <si>
    <t>Trạng thái từng đơn được kiểm chứng theo case; cleanup đối chiếu log run.</t>
  </si>
  <si>
    <t>Lưu ngày ISO; nhập/render theo placeholder của từng tài khoản.</t>
  </si>
  <si>
    <t>ASM7_DEPENDENCIES</t>
  </si>
  <si>
    <t>CONFIG → SELF → ADMIN; 25 case/module; kết quả gần nhất qua 5 nguồn full/hồi quy; xem giới hạn xác minh full v6 và manifest từng hồi quy.</t>
  </si>
  <si>
    <t>Một spec; testIsolation=false; retries=0; không chạy riêng một case phụ thuộc.</t>
  </si>
  <si>
    <t>Toàn bộ 75 Case ID trong spec; dependency thực hiện qua hook và helper UI.</t>
  </si>
  <si>
    <t>Cleanup ở hook after cuối suite.</t>
  </si>
  <si>
    <t>Manual có fixture riêng; không áp độc lập từng case cho suite tuần tự.</t>
  </si>
  <si>
    <t>ASM7_EVIDENCE</t>
  </si>
  <si>
    <t>Aggregate (liên kết): 22130254/validation-summary.json
Raw nguồn và fingerprint: block dưới; full JSON trong 22130254/reports/.</t>
  </si>
  <si>
    <t>Workbook: 74 Passed, 1 Failed, 0 Untested, 0 Blocked; Raw sources: full75 mvo0xyu9: 49 Passed/2 Failed/0 Pending/24 Skipped; regression35 mvo1y2ei: 10 Passed/1 Failed/0 Pending/24 Skipped; regression35 mvo2h9dk: 10 Passed/1 Failed/0 Pending/24 Skipped; regression28 mvo2z2kz: 26 Passed/2 Failed/0 Pending/0 Skipped; regression5 mvo3y0fj: 5 Passed/0 Failed/0 Pending/0 Skipped; 75 PNG theo source; thời lượng cộng 5 lượt 73 phút 54 giây.</t>
  </si>
  <si>
    <t>25/10/2026..26/10/2026; edge 156.0.4314.42 (headless) | Cypress 15.21.1 | OrangeHRM OS 5.9 demo.</t>
  </si>
  <si>
    <t>Chỉ liên kết PNG tồn tại, fingerprint đúng và timestamp thuộc source run của từng case.</t>
  </si>
  <si>
    <t>Chi tiết fixture, ISO, SHA-256, cleanup và raw links: từng block nguồn bên dưới.</t>
  </si>
  <si>
    <t>Nguồn raw Cypress: fixture, fingerprint và cleanup</t>
  </si>
  <si>
    <t>Nguồn 1: full75 / mvo0xyu9 — 40 case lấy kết quả này</t>
  </si>
  <si>
    <t>Raw report</t>
  </si>
  <si>
    <t>../../../22130254/reports/full75_mvo0xyu9.json</t>
  </si>
  <si>
    <t>Thời gian / counts</t>
  </si>
  <si>
    <t>2026-10-25T23:10:35+07:00 → 2026-10-25T23:31:12+07:00; 49 Passed/2 Failed/0 Pending/24 Skipped. Nguồn đóng góp 40 case trong aggregate.</t>
  </si>
  <si>
    <t>Raw SHA-256</t>
  </si>
  <si>
    <t>3d2ed8c6c68f4414053a81e7aae89a4cd50671be51ac7961a6df10eabc601036</t>
  </si>
  <si>
    <t>Canonical SHA-256</t>
  </si>
  <si>
    <t>2648bb67aeafdd7714624f46fde85e8df78ea973ef5c3ae395bbc001929f6129</t>
  </si>
  <si>
    <t>Executed spec SHA</t>
  </si>
  <si>
    <t>Raw cũ chưa captured before:spec; manifest SHA không được coi là fingerprint thực thi.</t>
  </si>
  <si>
    <t>Manifest SHA-256</t>
  </si>
  <si>
    <t>Không có manifest hồi quy của nguồn full75.</t>
  </si>
  <si>
    <t>Support SHA-256</t>
  </si>
  <si>
    <t>Raw cũ chưa ghi support fingerprint; không tự gán support hiện tại.</t>
  </si>
  <si>
    <t>Fixture</t>
  </si>
  <si>
    <t>ID=944636005; ASM7Thanh Tien T0mvo0xyu9; ESS=thanh_22130254_0_mvo0xyu9; createdDuringRun=true; terminated=false; Sub Unit=Administration</t>
  </si>
  <si>
    <t>ID=944636006; ASM7Thanh Tien T1mvo0xyu9; ESS=thanh_22130254_1_mvo0xyu9; createdDuringRun=true; terminated=false; Sub Unit=Quality Assurance</t>
  </si>
  <si>
    <t>ID=944636007; ASM7Thanh Tien T2mvo0xyu9; ESS=thanh_22130254_2_mvo0xyu9; createdDuringRun=true; terminated=false</t>
  </si>
  <si>
    <t>ID=944636008; ASM7Thanh Tien T3mvo0xyu9; ESS=thanh_22130254_3_mvo0xyu9; createdDuringRun=true; terminated=false</t>
  </si>
  <si>
    <t>Tracked types</t>
  </si>
  <si>
    <t>ASM7_Alt_mvo0xyu9, ASM7_22130254_mvo0xyu9, ASM7_Sit_mvo0xyu9, ASM7_mvo0xyu9_AAAAAAAAAAAAAAAAAAAAAAAAAAAAAAAAAAAA, ASM7_Edit_mvo0xyu9, ASM7_Updated_mvo0xyu9, ASM7_Delete_mvo0xyu9, ASM7_Past_mvo0xyu9</t>
  </si>
  <si>
    <t>Ca theo dõi</t>
  </si>
  <si>
    <t>ASM7_8h_mvo0xyu9_944636005</t>
  </si>
  <si>
    <t>Kỳ / entitlement</t>
  </si>
  <si>
    <t>Kỳ UI ghi nhận:
previous: 2025-01-01 - 2025-31-12; ISO 2025-01-01..2025-12-31
current: 2026-01-01 - 2026-31-12; ISO 2026-01-01..2026-12-31
target: 2027-01-01 - 2027-31-12; ISO 2027-01-01..2027-12-31
runData không chứa số Days từng entitlement; actual số ngày xem PNG/config case và log.</t>
  </si>
  <si>
    <t>Lịch / dates</t>
  </si>
  <si>
    <t>Lịch theo dõi 100 ngày; chưa xác nhận tạo đơn; ISO ở block nguồn.
D[0]=2027-01-04; D[99]=2027-06-11; currentDate=2026-10-28; pastDate=2026-10-09
Danh sách ISO đầy đủ ở raw report: runData.dates. Khóa/lịch chưa chứng minh case Passed.</t>
  </si>
  <si>
    <t>Cleanup</t>
  </si>
  <si>
    <t>Theo runData: cleanupAttempted=true, cleanupCompleted=true. Hook cleanup đã ghi nhận hoàn tất trong run này.</t>
  </si>
  <si>
    <t>Giới hạn xác minh</t>
  </si>
  <si>
    <t>Snapshot nguồn v6 không còn; chỉ có raw source SHA. Root ghi nhận review thân case trước sửa helpers, không xác minh byte-for-byte v6 so với hiện tại.</t>
  </si>
  <si>
    <t>Nguồn 2: regression35 / mvo1y2ei — 0 case lấy kết quả này</t>
  </si>
  <si>
    <t>../../../22130254/reports/regression35_mvo1y2ei.json</t>
  </si>
  <si>
    <t>2026-10-25T23:38:39+07:00 → 2026-10-25T23:48:39+07:00; 10 Passed/1 Failed/0 Pending/24 Skipped. Nguồn đóng góp 0 case trong aggregate.</t>
  </si>
  <si>
    <t>7f764f2f5df68f77c5203a7e2075621bc70344a4c4a0d3dd066d31c509459cea</t>
  </si>
  <si>
    <t>1db7e116f8ac840c83275779e99d312a336f22bce839b3176dcdb6b01960ec74</t>
  </si>
  <si>
    <t>5a0ddd682fb2bf2866851a877d93f680e1a4fc6146c8538ca4c16280268a1122</t>
  </si>
  <si>
    <t>ID=946319928; ASM7Thanh Tien T0mvo1y2ei; ESS=thanh_22130254_0_mvo1y2ei; createdDuringRun=true; terminated=false; Sub Unit=Administration</t>
  </si>
  <si>
    <t>ID=946319929; ASM7Thanh Tien T1mvo1y2ei; ESS=thanh_22130254_1_mvo1y2ei; createdDuringRun=true; terminated=false; Sub Unit=Quality Assurance</t>
  </si>
  <si>
    <t>ID=946319930; ASM7Thanh Tien T2mvo1y2ei; ESS=thanh_22130254_2_mvo1y2ei; createdDuringRun=true; terminated=false</t>
  </si>
  <si>
    <t>ID=946319931; ASM7Thanh Tien T3mvo1y2ei; ESS=thanh_22130254_3_mvo1y2ei; createdDuringRun=false; terminated=false</t>
  </si>
  <si>
    <t>ASM7_Alt_mvo1y2ei</t>
  </si>
  <si>
    <t>ASM7_8h_mvo1y2ei_946319928</t>
  </si>
  <si>
    <t>Theo runData: cleanupAttempted=false, cleanupCompleted=false. Chưa có ghi nhận cleanup hoàn tất; cần đối chiếu log và các khóa fixture.</t>
  </si>
  <si>
    <t>Snapshot/manifest Temp xác minh body và scaffold với origin; body khác canonical hiện tại: TC_LEAVE_ADMIN_008, TC_LEAVE_ADMIN_024. Aggregate chỉ giữ kết quả mới nhất của mỗi case; chi tiết trong validation-summary.json.</t>
  </si>
  <si>
    <t>Nguồn 3: regression35 / mvo2h9dk — 7 case lấy kết quả này</t>
  </si>
  <si>
    <t>../../../22130254/reports/regression35_mvo2h9dk.json</t>
  </si>
  <si>
    <t>2026-10-25T23:53:35+07:00 → 2026-10-26T00:03:34+07:00; 10 Passed/1 Failed/0 Pending/24 Skipped. Nguồn đóng góp 7 case trong aggregate.</t>
  </si>
  <si>
    <t>ec5f515698458e25e8d6f58077f29c803e4bbfa8439bf4a53d2e4f4c430911be</t>
  </si>
  <si>
    <t>f4577f9a092ed4cc423466e24432b328fb717466fb42a0a41f5d7147f5b4c03c</t>
  </si>
  <si>
    <t>ID=947215432; ASM7Thanh Tien T0mvo2h9dk; ESS=thanh_22130254_0_mvo2h9dk; createdDuringRun=true; terminated=false; Sub Unit=Administration</t>
  </si>
  <si>
    <t>ID=947215433; ASM7Thanh Tien T1mvo2h9dk; ESS=thanh_22130254_1_mvo2h9dk; createdDuringRun=true; terminated=false; Sub Unit=Quality Assurance</t>
  </si>
  <si>
    <t>ID=947215434; ASM7Thanh Tien T2mvo2h9dk; ESS=thanh_22130254_2_mvo2h9dk; createdDuringRun=true; terminated=false</t>
  </si>
  <si>
    <t>ID=947215435; ASM7Thanh Tien T3mvo2h9dk; ESS=thanh_22130254_3_mvo2h9dk; createdDuringRun=true; terminated=false</t>
  </si>
  <si>
    <t>ASM7_Alt_mvo2h9dk, ASM7_22130254_mvo2h9dk, ASM7_Past_mvo2h9dk</t>
  </si>
  <si>
    <t>ASM7_8h_mvo2h9dk_947215432</t>
  </si>
  <si>
    <t>Theo runData: cleanupAttempted=true, cleanupCompleted=false. Chưa có ghi nhận cleanup hoàn tất; cần đối chiếu log và các khóa fixture.</t>
  </si>
  <si>
    <t>Nguồn 4: regression28 / mvo2z2kz — 23 case lấy kết quả này</t>
  </si>
  <si>
    <t>../../../22130254/reports/regression28_mvo2z2kz.json</t>
  </si>
  <si>
    <t>2026-10-26T00:07:26+07:00 → 2026-10-26T00:33:55+07:00; 26 Passed/2 Failed/0 Pending/0 Skipped. Nguồn đóng góp 23 case trong aggregate.</t>
  </si>
  <si>
    <t>4b355b1842524c714e4a65f4891163e8fa31a378c795cea01ea2ef4da36dce99</t>
  </si>
  <si>
    <t>0374fc8bf0bd87351db7c24a562f96770f8eeb558f72fc910f153d56ccc88ef7</t>
  </si>
  <si>
    <t>2debe94c4c6051dcef2914398e114f3cb57f0407bae684dcaa215e1c5349fda1</t>
  </si>
  <si>
    <t>170be8b025ea6ea3dac63fe9855390ae9b1e87830e1a2e13618c8624e488c65c</t>
  </si>
  <si>
    <t>ID=948046422; ASM7Thanh Tien T0mvo2z2kz; ESS=thanh_22130254_0_mvo2z2kz; createdDuringRun=true; terminated=false; Sub Unit=Administration</t>
  </si>
  <si>
    <t>ID=948046423; ASM7Thanh Tien T1mvo2z2kz; ESS=thanh_22130254_1_mvo2z2kz; createdDuringRun=true; terminated=false; Sub Unit=Quality Assurance</t>
  </si>
  <si>
    <t>ID=948046424; ASM7Thanh Tien T2mvo2z2kz; ESS=thanh_22130254_2_mvo2z2kz; createdDuringRun=true; terminated=false</t>
  </si>
  <si>
    <t>ID=948046425; ASM7Thanh Tien T3mvo2z2kz; ESS=thanh_22130254_3_mvo2z2kz; createdDuringRun=true; terminated=false</t>
  </si>
  <si>
    <t>ASM7_Alt_mvo2z2kz, ASM7_22130254_mvo2z2kz, ASM7_Past_mvo2z2kz, ASM7_Bulk_mvo2z2kz, ASM7_Page_mvo2z2kz</t>
  </si>
  <si>
    <t>ASM7_8h_mvo2z2kz_948046422</t>
  </si>
  <si>
    <t>Kỳ UI ghi nhận:
previous: 2025-01-01 - 2025-31-12; ISO 2025-01-01..2025-12-31
current: 2026-01-01 - 2027-02-01; ISO 2026-01-01..2027-01-02
target: 2027-03-01 - 2028-02-01; ISO 2027-01-03..2028-01-02
runData không chứa số Days từng entitlement; actual số ngày xem PNG/config case và log.</t>
  </si>
  <si>
    <t>Lịch theo dõi 100 ngày; chưa xác nhận tạo đơn; ISO ở block nguồn.
D[0]=2027-01-04; D[99]=2027-06-11; currentDate=2026-10-29; pastDate=2026-10-12
Danh sách ISO đầy đủ ở raw report: runData.dates. Khóa/lịch chưa chứng minh case Passed.</t>
  </si>
  <si>
    <t>Snapshot/manifest Temp xác minh body và scaffold với origin; body khác canonical hiện tại: TC_LEAVE_ADMIN_024. Aggregate chỉ giữ kết quả mới nhất của mỗi case; chi tiết trong validation-summary.json.</t>
  </si>
  <si>
    <t>Nguồn 5: regression5 / mvo3y0fj — 5 case lấy kết quả này</t>
  </si>
  <si>
    <t>../../../22130254/reports/regression5_mvo3y0fj.json</t>
  </si>
  <si>
    <t>2026-10-26T00:34:36+07:00 → 2026-10-26T00:41:26+07:00; 5 Passed/0 Failed/0 Pending/0 Skipped. Nguồn đóng góp 5 case trong aggregate.</t>
  </si>
  <si>
    <t>1f0aabb3cc366f2788ba79b3e8191d92fb2b37b905e429d988a79cb1702a86af</t>
  </si>
  <si>
    <t>bc7b878bbf2603304cb5ee54f27c62a4c586e5a8f867a8c9b6aa9ed45a4fc146</t>
  </si>
  <si>
    <t>70f698743f44ccd7db809e0008f18b7ddd0999dcf1f5622ba83446dd740721b9</t>
  </si>
  <si>
    <t>ID=949676547; ASM7Thanh Tien T0mvo3y0fj; ESS=thanh_22130254_0_mvo3y0fj; createdDuringRun=true; terminated=false; Sub Unit=Administration</t>
  </si>
  <si>
    <t>ID=949676548; ASM7Thanh Tien T1mvo3y0fj; ESS=thanh_22130254_1_mvo3y0fj; createdDuringRun=true; terminated=false; Sub Unit=Quality Assurance</t>
  </si>
  <si>
    <t>ID=949676549; ASM7Thanh Tien T2mvo3y0fj; ESS=thanh_22130254_2_mvo3y0fj; createdDuringRun=true; terminated=false</t>
  </si>
  <si>
    <t>ID=949676550; ASM7Thanh Tien T3mvo3y0fj; ESS=thanh_22130254_3_mvo3y0fj; createdDuringRun=false; terminated=false</t>
  </si>
  <si>
    <t>ASM7_Alt_mvo3y0fj, ASM7_22130254_mvo3y0fj</t>
  </si>
  <si>
    <t>ASM7_8h_mvo3y0fj_949676547</t>
  </si>
  <si>
    <t>Snapshot/manifest Temp xác minh body và scaffold với origin; body khác canonical hiện tại: không có. Aggregate chỉ giữ kết quả mới nhất của mỗi case; chi tiết trong validation-summary.json.</t>
  </si>
  <si>
    <t>AUTOMATION PLAN</t>
  </si>
  <si>
    <t>Giai đoạn</t>
  </si>
  <si>
    <t>Công việc</t>
  </si>
  <si>
    <t>Assertion / bằng chứng</t>
  </si>
  <si>
    <t>Phạm vi / điều kiện</t>
  </si>
  <si>
    <t>Trạng thái</t>
  </si>
  <si>
    <t>Môi trường</t>
  </si>
  <si>
    <t>edge 156.0.4314.42 (headless) | Cypress 15.21.1 | OrangeHRM OS 5.9 demo; Admin/ESS khác nhau.</t>
  </si>
  <si>
    <t>Đăng nhập UI và vào Leave; không gọi API tạo dữ liệu.</t>
  </si>
  <si>
    <t>Node.js; npm ci; npm test tại gốc repo.</t>
  </si>
  <si>
    <t>Hoàn thành</t>
  </si>
  <si>
    <t>Fixture UI</t>
  </si>
  <si>
    <t>PIM tạo nhân viên/ESS; loại phép và hạn mức riêng theo baseline từng nhánh; bộ phân trang có 51 đơn UI thật.</t>
  </si>
  <si>
    <t>Đối chiếu tên/ID/type; integer Days=20; người xin và người duyệt khác nhau.</t>
  </si>
  <si>
    <t>Tiền tố ASM7_22130254_&lt;RUN&gt;; chỉ dữ liệu riêng.</t>
  </si>
  <si>
    <t>Có trong script; đối chiếu kết quả từng case</t>
  </si>
  <si>
    <t>Script riêng</t>
  </si>
  <si>
    <t>cypress/e2e/leave/22130254_CaoTienThanh_ASM7.cy.js; support/commands.js và fixtures/leave.json.</t>
  </si>
  <si>
    <t>Automation UI-driven; case AAA với comment tiếng Việt có dấu.</t>
  </si>
  <si>
    <t>Một file spec, giữ Case ID khớp workbook.</t>
  </si>
  <si>
    <t>Tuần tự và dependency</t>
  </si>
  <si>
    <t>CONFIG → SELF → ADMIN; fixtures của từng nhánh; setup Pending, Scheduled, Taken và Past Employee qua UI.</t>
  </si>
  <si>
    <t>testIsolation=false, retries=0; tiền điều kiện Pending được kiểm chứng trước Approve/Reject.</t>
  </si>
  <si>
    <t>Không chạy lẻ case phụ thuộc; cleanup cuối suite.</t>
  </si>
  <si>
    <t>Có trong script</t>
  </si>
  <si>
    <t>Script coverage</t>
  </si>
  <si>
    <t>75 it rõ Case ID: 25 CONFIG, 25 SELF, 25 ADMIN; khớp toàn bộ workbook.</t>
  </si>
  <si>
    <t>UI-driven, tuần tự AAA; validation, dữ liệu biên, thời lượng, filter, comments, details, bulk và pagination.</t>
  </si>
  <si>
    <t>Có script không có nghĩa là case đã chạy hoặc Passed.</t>
  </si>
  <si>
    <t>75/75 có script (100%)</t>
  </si>
  <si>
    <t>Executed status</t>
  </si>
  <si>
    <t>Kết quả gần nhất qua lượt đầy đủ và hồi quy: 74 Passed, 1 Failed, 0 Untested, 0 Blocked</t>
  </si>
  <si>
    <t>Lấy test.state thật; pending/skipped giữ Untested. Chỉ override Blocked nếu reporter ghi before all và executed=false.</t>
  </si>
  <si>
    <t>Execution coverage=100.00%; pass rate executed=98.67%.</t>
  </si>
  <si>
    <t>Kết quả run thật</t>
  </si>
  <si>
    <t>Locator và chờ UI</t>
  </si>
  <si>
    <t>cy.contains/cy.field/cy.choose/cy.ownRow; đọc placeholder ngày; chờ danh sách và kỳ phép tải xong.</t>
  </si>
  <si>
    <t>cy.intercept chỉ quan sát request UI; không mock response, không cy.request/SQL/hard sleep.</t>
  </si>
  <si>
    <t>Chỉ thao tác đúng dòng khớp type/employee/date fixture.</t>
  </si>
  <si>
    <t>Thực thi và ảnh</t>
  </si>
  <si>
    <t>Kết quả gần nhất qua lượt đầy đủ và hồi quy; 25/10/2026..26/10/2026; 74 Passed, 1 Failed, 0 Untested, 0 Blocked; thời lượng cộng 5 lượt 73 phút 54 giây.</t>
  </si>
  <si>
    <t>Raw JSON và 75 PNG thật theo source; Passed/Failed có actual và ngày bắt đầu source run.</t>
  </si>
  <si>
    <t>Script coverage=100%; execution coverage=100.00%; pass rate executed=98.67%.</t>
  </si>
  <si>
    <t>Đã đối chiếu report thực</t>
  </si>
  <si>
    <t>after cuối suite: Admin xóa đúng nhân viên theo ID+họ tên, rồi xóa type riêng; logout UI.</t>
  </si>
  <si>
    <t>Manual khôi phục từng fixture; ASM7 không dọn giữa các case phụ thuộc.</t>
  </si>
  <si>
    <t>Đã đối chiếu log</t>
  </si>
  <si>
    <t>Workbook / Git</t>
  </si>
  <si>
    <t>Workbook đúng3 nhóm,75 case; nhánh cá nhân thanh đã có code dev; tác giả tự commit/push và PR vào dev.</t>
  </si>
  <si>
    <t>Chụp push và merged PR thực tế sau khi tác giả thực hiện; không tạo ảnh Git giả.</t>
  </si>
  <si>
    <t>Reviewer dự kiếnVõ Minh Nhựt; chưa ghi nhận review/merge.</t>
  </si>
  <si>
    <t>Chờ tác giả Git</t>
  </si>
  <si>
    <t>Script UI/AAA có 75/75 ID; Kết quả gần nhất qua lượt đầy đủ và hồi quy: 74 Passed, 1 Failed, 0 Untested, 0 Blocked. Tổng hợp kết quả gần nhất từng case từ lượt đầy đủ và các lượt hồi quy trên source SHA khác nhau; không phải một lượt đầy đủ duy nhất đạt 75/75. Snapshot nguồn full v6 không còn, không xác minh byte-for-byte nguồn đó; raw source hash và giới hạn review được công bố. Git push/merge do tác giả thực hiện.</t>
  </si>
  <si>
    <t>TEST REPORT</t>
  </si>
  <si>
    <t>Nguồn / Ngày</t>
  </si>
  <si>
    <t>Aggregate_20261025T1610_20261025T1741</t>
  </si>
  <si>
    <t>25/10/2026..26/10/2026</t>
  </si>
  <si>
    <t>Browser / Version</t>
  </si>
  <si>
    <t>Version / Scope</t>
  </si>
  <si>
    <t>v1.2 | Kết quả gần nhất qua lượt đầy đủ và hồi quy; 74 Passed, 1 Failed, 0 Untested, 0 Blocked; thời lượng cộng 5 lượt 73 phút 54 giây.</t>
  </si>
  <si>
    <t>Total</t>
  </si>
  <si>
    <t>Execution coverage</t>
  </si>
  <si>
    <t>Pass rate (executed only)</t>
  </si>
  <si>
    <t>Execution coverage = (Passed + Failed) / Total. Pass rate = Passed / (Passed + Failed). Blocked và Skipped không được tính là đã thực thi.</t>
  </si>
  <si>
    <t>Workbook: 74 Passed, 1 Failed, 0 Untested, 0 Blocked; Raw sources: full75 mvo0xyu9: 49 Passed/2 Failed/0 Pending/24 Skipped; regression35 mvo1y2ei: 10 Passed/1 Failed/0 Pending/24 Skipped; regression35 mvo2h9dk: 10 Passed/1 Failed/0 Pending/24 Skipped; regression28 mvo2z2kz: 26 Passed/2 Failed/0 Pending/0 Skipped; regression5 mvo3y0fj: 5 Passed/0 Failed/0 Pending/0 Skipped; 75 PNG theo source. Script coverage=100%; execution coverage=100.00%; pass rate executed=98.67%. Pending/skipped giữ Untested; Blocked do before all không tính executed. Tổng hợp kết quả gần nhất từng case từ lượt đầy đủ và các lượt hồi quy trên source SHA khác nhau; không phải một lượt đầy đủ duy nhất đạt 75/75. Snapshot nguồn full v6 không còn, không xác minh byte-for-byte nguồn đó; raw source hash và giới hạn review được công bố. Git push/merge chờ tác giả.</t>
  </si>
  <si>
    <t>Bằng chứng ASM7</t>
  </si>
  <si>
    <t>validation-summary.json + raw reports; 75 PNG theo source; README.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</si>
</sst>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1"/>
      <name val="Carlito"/>
    </font>
    <font>
      <sz val="10"/>
      <color rgb="FF172033"/>
      <name val="Tahoma"/>
    </font>
    <font>
      <b/>
      <sz val="16"/>
      <color rgb="FF111111"/>
      <name val="Tahoma"/>
    </font>
    <font>
      <b/>
      <sz val="10"/>
      <color rgb="FF172033"/>
      <name val="Tahoma"/>
    </font>
    <font>
      <b/>
      <sz val="10"/>
      <color rgb="FFFFFFFF"/>
      <name val="Tahoma"/>
    </font>
    <font>
      <u/>
      <sz val="10"/>
      <color rgb="FF0563C1"/>
      <name val="Tahoma"/>
    </font>
  </fonts>
  <fills count="8">
    <fill>
      <patternFill patternType="none"/>
    </fill>
    <fill>
      <patternFill patternType="gray125"/>
    </fill>
    <fill>
      <patternFill patternType="solid">
        <fgColor rgb="FF000080"/>
      </patternFill>
    </fill>
    <fill>
      <patternFill patternType="solid">
        <fgColor rgb="FFEAF0F8"/>
      </patternFill>
    </fill>
    <fill>
      <patternFill patternType="solid">
        <fgColor rgb="FFFFF6D5"/>
      </patternFill>
    </fill>
    <fill>
      <patternFill patternType="solid">
        <fgColor rgb="FFFFF6D5"/>
        <bgColor rgb="FFFFF6D5"/>
      </patternFill>
    </fill>
    <fill>
      <patternFill patternType="solid">
        <fgColor rgb="FFF4F7FB"/>
        <bgColor rgb="FFF4F7FB"/>
      </patternFill>
    </fill>
    <fill>
      <patternFill patternType="solid">
        <fgColor rgb="FF000080"/>
        <bgColor rgb="FF000080"/>
      </patternFill>
    </fill>
  </fills>
  <borders count="11">
    <border>
      <left/>
      <right/>
      <top/>
      <bottom/>
      <diagonal/>
    </border>
    <border>
      <left/>
      <right/>
      <top style="thin">
        <color rgb="FFAEB8C6"/>
      </top>
      <bottom/>
      <diagonal/>
    </border>
    <border>
      <left/>
      <right style="thin">
        <color rgb="FFAEB8C6"/>
      </right>
      <top style="thin">
        <color rgb="FFAEB8C6"/>
      </top>
      <bottom/>
      <diagonal/>
    </border>
    <border>
      <left/>
      <right/>
      <top style="thin">
        <color rgb="FFAEB8C6"/>
      </top>
      <bottom style="thin">
        <color rgb="FFAEB8C6"/>
      </bottom>
      <diagonal/>
    </border>
    <border>
      <left/>
      <right style="thin">
        <color rgb="FFAEB8C6"/>
      </right>
      <top style="thin">
        <color rgb="FFAEB8C6"/>
      </top>
      <bottom style="thin">
        <color rgb="FFAEB8C6"/>
      </bottom>
      <diagonal/>
    </border>
    <border>
      <left style="thin">
        <color rgb="FFAEB8C6"/>
      </left>
      <right/>
      <top/>
      <bottom style="thin">
        <color rgb="FFAEB8C6"/>
      </bottom>
      <diagonal/>
    </border>
    <border>
      <left/>
      <right/>
      <top/>
      <bottom style="thin">
        <color rgb="FFAEB8C6"/>
      </bottom>
      <diagonal/>
    </border>
    <border>
      <left/>
      <right style="thin">
        <color rgb="FFAEB8C6"/>
      </right>
      <top/>
      <bottom style="thin">
        <color rgb="FFAEB8C6"/>
      </bottom>
      <diagonal/>
    </border>
    <border>
      <left style="thin">
        <color rgb="FFAEB8C6"/>
      </left>
      <right style="thin">
        <color rgb="FFAEB8C6"/>
      </right>
      <top/>
      <bottom style="thin">
        <color rgb="FFAEB8C6"/>
      </bottom>
      <diagonal/>
    </border>
    <border>
      <left style="thin">
        <color rgb="FFAEB8C6"/>
      </left>
      <right style="thin">
        <color rgb="FFAEB8C6"/>
      </right>
      <top style="thin">
        <color rgb="FFAEB8C6"/>
      </top>
      <bottom style="thin">
        <color rgb="FFAEB8C6"/>
      </bottom>
      <diagonal/>
    </border>
    <border>
      <left/>
      <right/>
      <top/>
      <bottom/>
      <diagonal/>
    </border>
  </borders>
  <cellStyleXfs count="1">
    <xf numFmtId="0" fontId="0" fillId="0" borderId="10"/>
  </cellStyleXfs>
  <cellXfs count="47">
    <xf numFmtId="0" fontId="0" fillId="0" borderId="0" xfId="0" applyBorder="1"/>
    <xf numFmtId="0" fontId="1" fillId="0" borderId="0" xfId="0" applyFont="1" applyBorder="1" applyAlignment="1">
      <alignment vertical="center" wrapText="1"/>
    </xf>
    <xf numFmtId="0" fontId="3" fillId="0" borderId="0" xfId="0" applyFont="1" applyBorder="1" applyAlignment="1">
      <alignment vertical="center" wrapText="1"/>
    </xf>
    <xf numFmtId="0" fontId="4" fillId="2" borderId="0" xfId="0" applyFont="1" applyFill="1" applyBorder="1" applyAlignment="1">
      <alignment horizontal="center" vertical="center" wrapText="1"/>
    </xf>
    <xf numFmtId="0" fontId="1" fillId="0" borderId="0" xfId="0" applyFont="1" applyBorder="1" applyAlignment="1">
      <alignment horizontal="left" vertical="top" wrapText="1"/>
    </xf>
    <xf numFmtId="0" fontId="3" fillId="0" borderId="9" xfId="0" applyFont="1" applyBorder="1" applyAlignment="1">
      <alignment vertical="center" wrapText="1"/>
    </xf>
    <xf numFmtId="0" fontId="1" fillId="0" borderId="9" xfId="0" applyFont="1" applyBorder="1" applyAlignment="1">
      <alignment vertical="center" wrapText="1"/>
    </xf>
    <xf numFmtId="14" fontId="1" fillId="0" borderId="9" xfId="0" applyNumberFormat="1" applyFont="1" applyBorder="1" applyAlignment="1">
      <alignment vertical="center" wrapText="1"/>
    </xf>
    <xf numFmtId="0" fontId="4" fillId="2" borderId="9" xfId="0" applyFont="1" applyFill="1" applyBorder="1" applyAlignment="1">
      <alignment horizontal="center" vertical="center" wrapText="1"/>
    </xf>
    <xf numFmtId="0" fontId="1" fillId="0" borderId="9" xfId="0" applyFont="1" applyBorder="1" applyAlignment="1">
      <alignment horizontal="left" vertical="top" wrapText="1"/>
    </xf>
    <xf numFmtId="0" fontId="3" fillId="3" borderId="9" xfId="0" applyFont="1" applyFill="1" applyBorder="1" applyAlignment="1">
      <alignment horizontal="center" vertical="center" wrapText="1"/>
    </xf>
    <xf numFmtId="0" fontId="1" fillId="0" borderId="9" xfId="0" applyFont="1" applyBorder="1" applyAlignment="1">
      <alignment horizontal="center" vertical="center" wrapText="1"/>
    </xf>
    <xf numFmtId="0" fontId="1" fillId="5" borderId="9" xfId="0" applyFont="1" applyFill="1" applyBorder="1" applyAlignment="1">
      <alignment horizontal="left" vertical="top" wrapText="1"/>
    </xf>
    <xf numFmtId="14" fontId="1" fillId="0" borderId="9" xfId="0" applyNumberFormat="1" applyFont="1" applyBorder="1" applyAlignment="1">
      <alignment horizontal="left" vertical="top" wrapText="1"/>
    </xf>
    <xf numFmtId="0" fontId="1" fillId="6" borderId="9" xfId="0" applyFont="1" applyFill="1" applyBorder="1" applyAlignment="1">
      <alignment horizontal="left" vertical="top" wrapText="1"/>
    </xf>
    <xf numFmtId="14" fontId="1" fillId="6" borderId="9" xfId="0" applyNumberFormat="1" applyFont="1" applyFill="1" applyBorder="1" applyAlignment="1">
      <alignment horizontal="left" vertical="top" wrapText="1"/>
    </xf>
    <xf numFmtId="0" fontId="4" fillId="7" borderId="9" xfId="0" applyFont="1" applyFill="1" applyBorder="1" applyAlignment="1">
      <alignment vertical="center" wrapText="1"/>
    </xf>
    <xf numFmtId="0" fontId="1" fillId="2" borderId="9" xfId="0" applyFont="1" applyFill="1" applyBorder="1" applyAlignment="1">
      <alignment horizontal="left" vertical="top" wrapText="1"/>
    </xf>
    <xf numFmtId="0" fontId="3" fillId="3" borderId="9" xfId="0" applyFont="1" applyFill="1" applyBorder="1" applyAlignment="1">
      <alignment vertical="center" wrapText="1"/>
    </xf>
    <xf numFmtId="0" fontId="1" fillId="0" borderId="10" xfId="0" applyFont="1" applyAlignment="1">
      <alignment vertical="center" wrapText="1"/>
    </xf>
    <xf numFmtId="0" fontId="1" fillId="0" borderId="9" xfId="0" applyFont="1" applyBorder="1" applyAlignment="1">
      <alignment vertical="top" wrapText="1"/>
    </xf>
    <xf numFmtId="0" fontId="5" fillId="0" borderId="9" xfId="0" applyFont="1" applyBorder="1" applyAlignment="1">
      <alignment vertical="top" wrapText="1"/>
    </xf>
    <xf numFmtId="0" fontId="5" fillId="6" borderId="9" xfId="0" applyFont="1" applyFill="1" applyBorder="1" applyAlignment="1">
      <alignment vertical="top" wrapText="1"/>
    </xf>
    <xf numFmtId="0" fontId="2" fillId="0" borderId="10" xfId="0" applyFont="1" applyAlignment="1">
      <alignment horizontal="center" vertical="center" wrapText="1"/>
    </xf>
    <xf numFmtId="0" fontId="0" fillId="0" borderId="0" xfId="0" applyBorder="1"/>
    <xf numFmtId="0" fontId="1" fillId="0" borderId="9" xfId="0" applyFont="1" applyBorder="1" applyAlignment="1">
      <alignment vertical="center" wrapText="1"/>
    </xf>
    <xf numFmtId="0" fontId="0" fillId="0" borderId="1" xfId="0" applyBorder="1"/>
    <xf numFmtId="0" fontId="0" fillId="0" borderId="2" xfId="0" applyBorder="1"/>
    <xf numFmtId="0" fontId="0" fillId="0" borderId="5" xfId="0" applyBorder="1"/>
    <xf numFmtId="0" fontId="0" fillId="0" borderId="6" xfId="0" applyBorder="1"/>
    <xf numFmtId="0" fontId="0" fillId="0" borderId="7" xfId="0" applyBorder="1"/>
    <xf numFmtId="0" fontId="0" fillId="0" borderId="3" xfId="0" applyBorder="1"/>
    <xf numFmtId="0" fontId="0" fillId="0" borderId="4" xfId="0" applyBorder="1"/>
    <xf numFmtId="0" fontId="3" fillId="0" borderId="9" xfId="0" applyFont="1" applyBorder="1" applyAlignment="1">
      <alignment vertical="center" wrapText="1"/>
    </xf>
    <xf numFmtId="0" fontId="0" fillId="0" borderId="8" xfId="0" applyBorder="1"/>
    <xf numFmtId="0" fontId="1" fillId="0" borderId="9" xfId="0" applyFont="1" applyBorder="1" applyAlignment="1">
      <alignment horizontal="center" vertical="center" wrapText="1"/>
    </xf>
    <xf numFmtId="0" fontId="3" fillId="3" borderId="9" xfId="0" applyFont="1" applyFill="1" applyBorder="1" applyAlignment="1">
      <alignment horizontal="center" vertical="center" wrapText="1"/>
    </xf>
    <xf numFmtId="0" fontId="1" fillId="0" borderId="10" xfId="0" applyFont="1" applyAlignment="1">
      <alignment vertical="center" wrapText="1"/>
    </xf>
    <xf numFmtId="0" fontId="1" fillId="0" borderId="9" xfId="0" applyFont="1" applyBorder="1" applyAlignment="1">
      <alignment vertical="top" wrapText="1"/>
    </xf>
    <xf numFmtId="0" fontId="5" fillId="0" borderId="9" xfId="0" applyFont="1" applyBorder="1" applyAlignment="1">
      <alignment vertical="top" wrapText="1"/>
    </xf>
    <xf numFmtId="0" fontId="2" fillId="0" borderId="10" xfId="0" applyFont="1" applyAlignment="1">
      <alignment vertical="top" wrapText="1"/>
    </xf>
    <xf numFmtId="0" fontId="1" fillId="0" borderId="9" xfId="0" applyFont="1" applyBorder="1" applyAlignment="1">
      <alignment horizontal="left" vertical="top" wrapText="1"/>
    </xf>
    <xf numFmtId="164" fontId="1" fillId="0" borderId="9" xfId="0" applyNumberFormat="1" applyFont="1" applyBorder="1" applyAlignment="1">
      <alignment vertical="center" wrapText="1"/>
    </xf>
    <xf numFmtId="0" fontId="1" fillId="4" borderId="9" xfId="0" applyFont="1" applyFill="1" applyBorder="1" applyAlignment="1">
      <alignment vertical="center" wrapText="1"/>
    </xf>
    <xf numFmtId="14" fontId="1" fillId="4" borderId="9" xfId="0" applyNumberFormat="1" applyFont="1" applyFill="1" applyBorder="1" applyAlignment="1">
      <alignment vertical="center" wrapText="1"/>
    </xf>
    <xf numFmtId="10" fontId="1" fillId="0" borderId="9" xfId="0" applyNumberFormat="1" applyFont="1" applyBorder="1" applyAlignment="1">
      <alignment vertical="center" wrapText="1"/>
    </xf>
    <xf numFmtId="0" fontId="3" fillId="3" borderId="9" xfId="0" applyFont="1" applyFill="1" applyBorder="1" applyAlignment="1">
      <alignment vertical="center" wrapText="1"/>
    </xf>
  </cellXfs>
  <cellStyles count="1">
    <cellStyle name="Normal" xfId="0" builtinId="0"/>
  </cellStyles>
  <dxfs count="12">
    <dxf>
      <font>
        <b/>
        <color rgb="FF525E6D"/>
      </font>
      <fill>
        <patternFill>
          <bgColor rgb="FFECEFF3"/>
        </patternFill>
      </fill>
    </dxf>
    <dxf>
      <font>
        <b/>
        <color rgb="FF805A00"/>
      </font>
      <fill>
        <patternFill>
          <bgColor rgb="FFFFF0CE"/>
        </patternFill>
      </fill>
    </dxf>
    <dxf>
      <font>
        <b/>
        <color rgb="FFA52323"/>
      </font>
      <fill>
        <patternFill>
          <bgColor rgb="FFFCE8E6"/>
        </patternFill>
      </fill>
    </dxf>
    <dxf>
      <font>
        <b/>
        <color rgb="FF20603A"/>
      </font>
      <fill>
        <patternFill>
          <bgColor rgb="FFE7F2E8"/>
        </patternFill>
      </fill>
    </dxf>
    <dxf>
      <font>
        <b/>
        <color rgb="FF525E6D"/>
      </font>
      <fill>
        <patternFill>
          <bgColor rgb="FFECEFF3"/>
        </patternFill>
      </fill>
    </dxf>
    <dxf>
      <font>
        <b/>
        <color rgb="FF805A00"/>
      </font>
      <fill>
        <patternFill>
          <bgColor rgb="FFFFF0CE"/>
        </patternFill>
      </fill>
    </dxf>
    <dxf>
      <font>
        <b/>
        <color rgb="FFA52323"/>
      </font>
      <fill>
        <patternFill>
          <bgColor rgb="FFFCE8E6"/>
        </patternFill>
      </fill>
    </dxf>
    <dxf>
      <font>
        <b/>
        <color rgb="FF20603A"/>
      </font>
      <fill>
        <patternFill>
          <bgColor rgb="FFE7F2E8"/>
        </patternFill>
      </fill>
    </dxf>
    <dxf>
      <font>
        <b/>
        <color rgb="FF525E6D"/>
      </font>
      <fill>
        <patternFill>
          <bgColor rgb="FFECEFF3"/>
        </patternFill>
      </fill>
    </dxf>
    <dxf>
      <font>
        <b/>
        <color rgb="FF805A00"/>
      </font>
      <fill>
        <patternFill>
          <bgColor rgb="FFFFF0CE"/>
        </patternFill>
      </fill>
    </dxf>
    <dxf>
      <font>
        <b/>
        <color rgb="FFA52323"/>
      </font>
      <fill>
        <patternFill>
          <bgColor rgb="FFFCE8E6"/>
        </patternFill>
      </fill>
    </dxf>
    <dxf>
      <font>
        <b/>
        <color rgb="FF20603A"/>
      </font>
      <fill>
        <patternFill>
          <bgColor rgb="FFE7F2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8" Type="http://schemas.openxmlformats.org/officeDocument/2006/relationships/hyperlink" Target="../../../22130254/screenshots/TC_LEAVE_CONFIG_008.png" TargetMode="External"/><Relationship Id="rId13" Type="http://schemas.openxmlformats.org/officeDocument/2006/relationships/hyperlink" Target="../../../22130254/screenshots/TC_LEAVE_CONFIG_013.png" TargetMode="External"/><Relationship Id="rId18" Type="http://schemas.openxmlformats.org/officeDocument/2006/relationships/hyperlink" Target="../../../22130254/screenshots/TC_LEAVE_CONFIG_018.png" TargetMode="External"/><Relationship Id="rId3" Type="http://schemas.openxmlformats.org/officeDocument/2006/relationships/hyperlink" Target="../../../22130254/screenshots/TC_LEAVE_CONFIG_003.png" TargetMode="External"/><Relationship Id="rId21" Type="http://schemas.openxmlformats.org/officeDocument/2006/relationships/hyperlink" Target="../../../22130254/screenshots/TC_LEAVE_CONFIG_021.png" TargetMode="External"/><Relationship Id="rId7" Type="http://schemas.openxmlformats.org/officeDocument/2006/relationships/hyperlink" Target="../../../22130254/screenshots/TC_LEAVE_CONFIG_007.png" TargetMode="External"/><Relationship Id="rId12" Type="http://schemas.openxmlformats.org/officeDocument/2006/relationships/hyperlink" Target="../../../22130254/screenshots/TC_LEAVE_CONFIG_012.png" TargetMode="External"/><Relationship Id="rId17" Type="http://schemas.openxmlformats.org/officeDocument/2006/relationships/hyperlink" Target="../../../22130254/screenshots/TC_LEAVE_CONFIG_017.png" TargetMode="External"/><Relationship Id="rId25" Type="http://schemas.openxmlformats.org/officeDocument/2006/relationships/hyperlink" Target="../../../22130254/screenshots/TC_LEAVE_CONFIG_025.png" TargetMode="External"/><Relationship Id="rId2" Type="http://schemas.openxmlformats.org/officeDocument/2006/relationships/hyperlink" Target="../../../22130254/screenshots/TC_LEAVE_CONFIG_002.png" TargetMode="External"/><Relationship Id="rId16" Type="http://schemas.openxmlformats.org/officeDocument/2006/relationships/hyperlink" Target="../../../22130254/screenshots/TC_LEAVE_CONFIG_016.png" TargetMode="External"/><Relationship Id="rId20" Type="http://schemas.openxmlformats.org/officeDocument/2006/relationships/hyperlink" Target="../../../22130254/screenshots/TC_LEAVE_CONFIG_020.png" TargetMode="External"/><Relationship Id="rId1" Type="http://schemas.openxmlformats.org/officeDocument/2006/relationships/hyperlink" Target="../../../22130254/screenshots/TC_LEAVE_CONFIG_001.png" TargetMode="External"/><Relationship Id="rId6" Type="http://schemas.openxmlformats.org/officeDocument/2006/relationships/hyperlink" Target="../../../22130254/screenshots/TC_LEAVE_CONFIG_006.png" TargetMode="External"/><Relationship Id="rId11" Type="http://schemas.openxmlformats.org/officeDocument/2006/relationships/hyperlink" Target="../../../22130254/screenshots/TC_LEAVE_CONFIG_011.png" TargetMode="External"/><Relationship Id="rId24" Type="http://schemas.openxmlformats.org/officeDocument/2006/relationships/hyperlink" Target="../../../22130254/screenshots/TC_LEAVE_CONFIG_024.png" TargetMode="External"/><Relationship Id="rId5" Type="http://schemas.openxmlformats.org/officeDocument/2006/relationships/hyperlink" Target="../../../22130254/screenshots/TC_LEAVE_CONFIG_005.png" TargetMode="External"/><Relationship Id="rId15" Type="http://schemas.openxmlformats.org/officeDocument/2006/relationships/hyperlink" Target="../../../22130254/screenshots/TC_LEAVE_CONFIG_015.png" TargetMode="External"/><Relationship Id="rId23" Type="http://schemas.openxmlformats.org/officeDocument/2006/relationships/hyperlink" Target="../../../22130254/screenshots/TC_LEAVE_CONFIG_023.png" TargetMode="External"/><Relationship Id="rId10" Type="http://schemas.openxmlformats.org/officeDocument/2006/relationships/hyperlink" Target="../../../22130254/screenshots/TC_LEAVE_CONFIG_010.png" TargetMode="External"/><Relationship Id="rId19" Type="http://schemas.openxmlformats.org/officeDocument/2006/relationships/hyperlink" Target="../../../22130254/screenshots/TC_LEAVE_CONFIG_019.png" TargetMode="External"/><Relationship Id="rId4" Type="http://schemas.openxmlformats.org/officeDocument/2006/relationships/hyperlink" Target="../../../22130254/screenshots/TC_LEAVE_CONFIG_004.png" TargetMode="External"/><Relationship Id="rId9" Type="http://schemas.openxmlformats.org/officeDocument/2006/relationships/hyperlink" Target="../../../22130254/screenshots/TC_LEAVE_CONFIG_009.png" TargetMode="External"/><Relationship Id="rId14" Type="http://schemas.openxmlformats.org/officeDocument/2006/relationships/hyperlink" Target="../../../22130254/screenshots/TC_LEAVE_CONFIG_014.png" TargetMode="External"/><Relationship Id="rId22" Type="http://schemas.openxmlformats.org/officeDocument/2006/relationships/hyperlink" Target="../../../22130254/screenshots/TC_LEAVE_CONFIG_022.p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22130254/screenshots/TC_LEAVE_SELF_008.png" TargetMode="External"/><Relationship Id="rId13" Type="http://schemas.openxmlformats.org/officeDocument/2006/relationships/hyperlink" Target="../../../22130254/screenshots/TC_LEAVE_SELF_013.png" TargetMode="External"/><Relationship Id="rId18" Type="http://schemas.openxmlformats.org/officeDocument/2006/relationships/hyperlink" Target="../../../22130254/screenshots/TC_LEAVE_SELF_018.png" TargetMode="External"/><Relationship Id="rId3" Type="http://schemas.openxmlformats.org/officeDocument/2006/relationships/hyperlink" Target="../../../22130254/screenshots/TC_LEAVE_SELF_003.png" TargetMode="External"/><Relationship Id="rId21" Type="http://schemas.openxmlformats.org/officeDocument/2006/relationships/hyperlink" Target="../../../22130254/screenshots/TC_LEAVE_SELF_021.png" TargetMode="External"/><Relationship Id="rId7" Type="http://schemas.openxmlformats.org/officeDocument/2006/relationships/hyperlink" Target="../../../22130254/screenshots/TC_LEAVE_SELF_007.png" TargetMode="External"/><Relationship Id="rId12" Type="http://schemas.openxmlformats.org/officeDocument/2006/relationships/hyperlink" Target="../../../22130254/screenshots/TC_LEAVE_SELF_012.png" TargetMode="External"/><Relationship Id="rId17" Type="http://schemas.openxmlformats.org/officeDocument/2006/relationships/hyperlink" Target="../../../22130254/screenshots/TC_LEAVE_SELF_017.png" TargetMode="External"/><Relationship Id="rId25" Type="http://schemas.openxmlformats.org/officeDocument/2006/relationships/hyperlink" Target="../../../22130254/screenshots/TC_LEAVE_SELF_025.png" TargetMode="External"/><Relationship Id="rId2" Type="http://schemas.openxmlformats.org/officeDocument/2006/relationships/hyperlink" Target="../../../22130254/screenshots/TC_LEAVE_SELF_002.png" TargetMode="External"/><Relationship Id="rId16" Type="http://schemas.openxmlformats.org/officeDocument/2006/relationships/hyperlink" Target="../../../22130254/screenshots/TC_LEAVE_SELF_016.png" TargetMode="External"/><Relationship Id="rId20" Type="http://schemas.openxmlformats.org/officeDocument/2006/relationships/hyperlink" Target="../../../22130254/screenshots/TC_LEAVE_SELF_020.png" TargetMode="External"/><Relationship Id="rId1" Type="http://schemas.openxmlformats.org/officeDocument/2006/relationships/hyperlink" Target="../../../22130254/screenshots/TC_LEAVE_SELF_001.png" TargetMode="External"/><Relationship Id="rId6" Type="http://schemas.openxmlformats.org/officeDocument/2006/relationships/hyperlink" Target="../../../22130254/screenshots/TC_LEAVE_SELF_006.png" TargetMode="External"/><Relationship Id="rId11" Type="http://schemas.openxmlformats.org/officeDocument/2006/relationships/hyperlink" Target="../../../22130254/screenshots/TC_LEAVE_SELF_011.png" TargetMode="External"/><Relationship Id="rId24" Type="http://schemas.openxmlformats.org/officeDocument/2006/relationships/hyperlink" Target="../../../22130254/screenshots/TC_LEAVE_SELF_024.png" TargetMode="External"/><Relationship Id="rId5" Type="http://schemas.openxmlformats.org/officeDocument/2006/relationships/hyperlink" Target="../../../22130254/screenshots/TC_LEAVE_SELF_005.png" TargetMode="External"/><Relationship Id="rId15" Type="http://schemas.openxmlformats.org/officeDocument/2006/relationships/hyperlink" Target="../../../22130254/screenshots/TC_LEAVE_SELF_015.png" TargetMode="External"/><Relationship Id="rId23" Type="http://schemas.openxmlformats.org/officeDocument/2006/relationships/hyperlink" Target="../../../22130254/screenshots/TC_LEAVE_SELF_023.png" TargetMode="External"/><Relationship Id="rId10" Type="http://schemas.openxmlformats.org/officeDocument/2006/relationships/hyperlink" Target="../../../22130254/screenshots/TC_LEAVE_SELF_010.png" TargetMode="External"/><Relationship Id="rId19" Type="http://schemas.openxmlformats.org/officeDocument/2006/relationships/hyperlink" Target="../../../22130254/screenshots/TC_LEAVE_SELF_019.png" TargetMode="External"/><Relationship Id="rId4" Type="http://schemas.openxmlformats.org/officeDocument/2006/relationships/hyperlink" Target="../../../22130254/screenshots/TC_LEAVE_SELF_004.png" TargetMode="External"/><Relationship Id="rId9" Type="http://schemas.openxmlformats.org/officeDocument/2006/relationships/hyperlink" Target="../../../22130254/screenshots/TC_LEAVE_SELF_009.png" TargetMode="External"/><Relationship Id="rId14" Type="http://schemas.openxmlformats.org/officeDocument/2006/relationships/hyperlink" Target="../../../22130254/screenshots/TC_LEAVE_SELF_014.png" TargetMode="External"/><Relationship Id="rId22" Type="http://schemas.openxmlformats.org/officeDocument/2006/relationships/hyperlink" Target="../../../22130254/screenshots/TC_LEAVE_SELF_022.pn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22130254/screenshots/TC_LEAVE_ADMIN_008_failed.png" TargetMode="External"/><Relationship Id="rId13" Type="http://schemas.openxmlformats.org/officeDocument/2006/relationships/hyperlink" Target="../../../22130254/screenshots/TC_LEAVE_ADMIN_013.png" TargetMode="External"/><Relationship Id="rId18" Type="http://schemas.openxmlformats.org/officeDocument/2006/relationships/hyperlink" Target="../../../22130254/screenshots/TC_LEAVE_ADMIN_018.png" TargetMode="External"/><Relationship Id="rId3" Type="http://schemas.openxmlformats.org/officeDocument/2006/relationships/hyperlink" Target="../../../22130254/screenshots/TC_LEAVE_ADMIN_003.png" TargetMode="External"/><Relationship Id="rId21" Type="http://schemas.openxmlformats.org/officeDocument/2006/relationships/hyperlink" Target="../../../22130254/screenshots/TC_LEAVE_ADMIN_021.png" TargetMode="External"/><Relationship Id="rId7" Type="http://schemas.openxmlformats.org/officeDocument/2006/relationships/hyperlink" Target="../../../22130254/screenshots/TC_LEAVE_ADMIN_007.png" TargetMode="External"/><Relationship Id="rId12" Type="http://schemas.openxmlformats.org/officeDocument/2006/relationships/hyperlink" Target="../../../22130254/screenshots/TC_LEAVE_ADMIN_012.png" TargetMode="External"/><Relationship Id="rId17" Type="http://schemas.openxmlformats.org/officeDocument/2006/relationships/hyperlink" Target="../../../22130254/screenshots/TC_LEAVE_ADMIN_017.png" TargetMode="External"/><Relationship Id="rId25" Type="http://schemas.openxmlformats.org/officeDocument/2006/relationships/hyperlink" Target="../../../22130254/screenshots/TC_LEAVE_ADMIN_025.png" TargetMode="External"/><Relationship Id="rId2" Type="http://schemas.openxmlformats.org/officeDocument/2006/relationships/hyperlink" Target="../../../22130254/screenshots/TC_LEAVE_ADMIN_002.png" TargetMode="External"/><Relationship Id="rId16" Type="http://schemas.openxmlformats.org/officeDocument/2006/relationships/hyperlink" Target="../../../22130254/screenshots/TC_LEAVE_ADMIN_016.png" TargetMode="External"/><Relationship Id="rId20" Type="http://schemas.openxmlformats.org/officeDocument/2006/relationships/hyperlink" Target="../../../22130254/screenshots/TC_LEAVE_ADMIN_020.png" TargetMode="External"/><Relationship Id="rId1" Type="http://schemas.openxmlformats.org/officeDocument/2006/relationships/hyperlink" Target="../../../22130254/screenshots/TC_LEAVE_ADMIN_001.png" TargetMode="External"/><Relationship Id="rId6" Type="http://schemas.openxmlformats.org/officeDocument/2006/relationships/hyperlink" Target="../../../22130254/screenshots/TC_LEAVE_ADMIN_006.png" TargetMode="External"/><Relationship Id="rId11" Type="http://schemas.openxmlformats.org/officeDocument/2006/relationships/hyperlink" Target="../../../22130254/screenshots/TC_LEAVE_ADMIN_011.png" TargetMode="External"/><Relationship Id="rId24" Type="http://schemas.openxmlformats.org/officeDocument/2006/relationships/hyperlink" Target="../../../22130254/screenshots/TC_LEAVE_ADMIN_024.png" TargetMode="External"/><Relationship Id="rId5" Type="http://schemas.openxmlformats.org/officeDocument/2006/relationships/hyperlink" Target="../../../22130254/screenshots/TC_LEAVE_ADMIN_005.png" TargetMode="External"/><Relationship Id="rId15" Type="http://schemas.openxmlformats.org/officeDocument/2006/relationships/hyperlink" Target="../../../22130254/screenshots/TC_LEAVE_ADMIN_015.png" TargetMode="External"/><Relationship Id="rId23" Type="http://schemas.openxmlformats.org/officeDocument/2006/relationships/hyperlink" Target="../../../22130254/screenshots/TC_LEAVE_ADMIN_023.png" TargetMode="External"/><Relationship Id="rId10" Type="http://schemas.openxmlformats.org/officeDocument/2006/relationships/hyperlink" Target="../../../22130254/screenshots/TC_LEAVE_ADMIN_010.png" TargetMode="External"/><Relationship Id="rId19" Type="http://schemas.openxmlformats.org/officeDocument/2006/relationships/hyperlink" Target="../../../22130254/screenshots/TC_LEAVE_ADMIN_019.png" TargetMode="External"/><Relationship Id="rId4" Type="http://schemas.openxmlformats.org/officeDocument/2006/relationships/hyperlink" Target="../../../22130254/screenshots/TC_LEAVE_ADMIN_004.png" TargetMode="External"/><Relationship Id="rId9" Type="http://schemas.openxmlformats.org/officeDocument/2006/relationships/hyperlink" Target="../../../22130254/screenshots/TC_LEAVE_ADMIN_009.png" TargetMode="External"/><Relationship Id="rId14" Type="http://schemas.openxmlformats.org/officeDocument/2006/relationships/hyperlink" Target="../../../22130254/screenshots/TC_LEAVE_ADMIN_014.png" TargetMode="External"/><Relationship Id="rId22" Type="http://schemas.openxmlformats.org/officeDocument/2006/relationships/hyperlink" Target="../../../22130254/screenshots/TC_LEAVE_ADMIN_022.png"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22130254/reports/full75_mvo0xyu9.json" TargetMode="External"/><Relationship Id="rId3" Type="http://schemas.openxmlformats.org/officeDocument/2006/relationships/hyperlink" Target="https://github.com/orangehrm/orangehrm/blob/v5.9/src/client/src/orangehrmLeavePlugin/pages/entitlements/AddEntitlement.vue" TargetMode="External"/><Relationship Id="rId7" Type="http://schemas.openxmlformats.org/officeDocument/2006/relationships/hyperlink" Target="../../../22130254/validation-summary.json" TargetMode="External"/><Relationship Id="rId12" Type="http://schemas.openxmlformats.org/officeDocument/2006/relationships/hyperlink" Target="../../../22130254/reports/regression5_mvo3y0fj.json" TargetMode="External"/><Relationship Id="rId2" Type="http://schemas.openxmlformats.org/officeDocument/2006/relationships/hyperlink" Target="https://github.com/orangehrm/orangehrm/blob/v5.9/src/client/src/orangehrmLeavePlugin/pages/leaveType/SaveLeaveType.vue" TargetMode="External"/><Relationship Id="rId1" Type="http://schemas.openxmlformats.org/officeDocument/2006/relationships/hyperlink" Target="https://opensource-demo.orangehrmlive.com/" TargetMode="External"/><Relationship Id="rId6" Type="http://schemas.openxmlformats.org/officeDocument/2006/relationships/hyperlink" Target="https://github.com/orangehrm/orangehrm/blob/v5.9/src/client/src/core/util/validation/rules.ts" TargetMode="External"/><Relationship Id="rId11" Type="http://schemas.openxmlformats.org/officeDocument/2006/relationships/hyperlink" Target="../../../22130254/reports/regression28_mvo2z2kz.json" TargetMode="External"/><Relationship Id="rId5" Type="http://schemas.openxmlformats.org/officeDocument/2006/relationships/hyperlink" Target="https://github.com/orangehrm/orangehrm/blob/v5.9/src/client/src/orangehrmLeavePlugin/components/LeaveListTable.vue" TargetMode="External"/><Relationship Id="rId10" Type="http://schemas.openxmlformats.org/officeDocument/2006/relationships/hyperlink" Target="../../../22130254/reports/regression35_mvo2h9dk.json" TargetMode="External"/><Relationship Id="rId4" Type="http://schemas.openxmlformats.org/officeDocument/2006/relationships/hyperlink" Target="https://github.com/orangehrm/orangehrm/blob/v5.9/src/client/src/orangehrmLeavePlugin/pages/LeaveApply.vue" TargetMode="External"/><Relationship Id="rId9" Type="http://schemas.openxmlformats.org/officeDocument/2006/relationships/hyperlink" Target="../../../22130254/reports/regression35_mvo1y2ei.json"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22130254/README.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H21"/>
  <sheetViews>
    <sheetView showGridLines="0" tabSelected="1" workbookViewId="0"/>
  </sheetViews>
  <sheetFormatPr defaultRowHeight="13.8"/>
  <cols>
    <col min="1" max="1" width="3" customWidth="1"/>
    <col min="2" max="2" width="22" customWidth="1"/>
    <col min="3" max="4" width="20" customWidth="1"/>
    <col min="5" max="5" width="15" customWidth="1"/>
    <col min="6" max="6" width="24" customWidth="1"/>
    <col min="7" max="7" width="34" customWidth="1"/>
    <col min="8" max="8" width="12" customWidth="1"/>
  </cols>
  <sheetData>
    <row r="2" spans="2:8" ht="42" customHeight="1">
      <c r="B2" s="23" t="s">
        <v>0</v>
      </c>
      <c r="C2" s="24"/>
      <c r="D2" s="24"/>
      <c r="E2" s="24"/>
      <c r="F2" s="24"/>
      <c r="G2" s="24"/>
      <c r="H2" s="1"/>
    </row>
    <row r="3" spans="2:8">
      <c r="B3" s="1"/>
      <c r="C3" s="1"/>
      <c r="D3" s="1"/>
      <c r="E3" s="1"/>
      <c r="F3" s="1"/>
      <c r="G3" s="1"/>
      <c r="H3" s="1"/>
    </row>
    <row r="4" spans="2:8">
      <c r="B4" s="5" t="s">
        <v>1</v>
      </c>
      <c r="C4" s="25" t="s">
        <v>2</v>
      </c>
      <c r="D4" s="31"/>
      <c r="E4" s="32"/>
      <c r="F4" s="5" t="s">
        <v>3</v>
      </c>
      <c r="G4" s="6" t="s">
        <v>4</v>
      </c>
      <c r="H4" s="1"/>
    </row>
    <row r="5" spans="2:8">
      <c r="B5" s="5" t="s">
        <v>5</v>
      </c>
      <c r="C5" s="25" t="s">
        <v>6</v>
      </c>
      <c r="D5" s="31"/>
      <c r="E5" s="32"/>
      <c r="F5" s="5" t="s">
        <v>7</v>
      </c>
      <c r="G5" s="6" t="s">
        <v>8</v>
      </c>
      <c r="H5" s="1"/>
    </row>
    <row r="6" spans="2:8">
      <c r="B6" s="33" t="s">
        <v>9</v>
      </c>
      <c r="C6" s="25" t="s">
        <v>10</v>
      </c>
      <c r="D6" s="26"/>
      <c r="E6" s="27"/>
      <c r="F6" s="5" t="s">
        <v>11</v>
      </c>
      <c r="G6" s="7">
        <v>46316</v>
      </c>
      <c r="H6" s="1"/>
    </row>
    <row r="7" spans="2:8">
      <c r="B7" s="34"/>
      <c r="C7" s="28"/>
      <c r="D7" s="29"/>
      <c r="E7" s="30"/>
      <c r="F7" s="5" t="s">
        <v>12</v>
      </c>
      <c r="G7" s="6" t="s">
        <v>13</v>
      </c>
      <c r="H7" s="1"/>
    </row>
    <row r="8" spans="2:8">
      <c r="B8" s="1"/>
      <c r="C8" s="1"/>
      <c r="D8" s="1"/>
      <c r="E8" s="1"/>
      <c r="F8" s="1"/>
      <c r="G8" s="1"/>
      <c r="H8" s="1"/>
    </row>
    <row r="9" spans="2:8">
      <c r="B9" s="1"/>
      <c r="C9" s="1"/>
      <c r="D9" s="1"/>
      <c r="E9" s="1"/>
      <c r="F9" s="1"/>
      <c r="G9" s="1"/>
      <c r="H9" s="1"/>
    </row>
    <row r="10" spans="2:8">
      <c r="B10" s="2" t="s">
        <v>14</v>
      </c>
      <c r="C10" s="1"/>
      <c r="D10" s="1"/>
      <c r="E10" s="1"/>
      <c r="F10" s="1"/>
      <c r="G10" s="1"/>
      <c r="H10" s="1"/>
    </row>
    <row r="11" spans="2:8" ht="46.05" customHeight="1">
      <c r="B11" s="8" t="s">
        <v>15</v>
      </c>
      <c r="C11" s="8" t="s">
        <v>12</v>
      </c>
      <c r="D11" s="8" t="s">
        <v>16</v>
      </c>
      <c r="E11" s="8" t="s">
        <v>17</v>
      </c>
      <c r="F11" s="8" t="s">
        <v>18</v>
      </c>
      <c r="G11" s="8" t="s">
        <v>19</v>
      </c>
      <c r="H11" s="1"/>
    </row>
    <row r="12" spans="2:8" ht="90" customHeight="1">
      <c r="B12" s="7">
        <v>46316</v>
      </c>
      <c r="C12" s="6" t="s">
        <v>20</v>
      </c>
      <c r="D12" s="6" t="s">
        <v>21</v>
      </c>
      <c r="E12" s="6" t="s">
        <v>22</v>
      </c>
      <c r="F12" s="6" t="s">
        <v>23</v>
      </c>
      <c r="G12" s="6" t="s">
        <v>24</v>
      </c>
      <c r="H12" s="1"/>
    </row>
    <row r="13" spans="2:8" ht="109.95" customHeight="1">
      <c r="B13" s="7">
        <v>46320</v>
      </c>
      <c r="C13" s="6" t="s">
        <v>25</v>
      </c>
      <c r="D13" s="6" t="s">
        <v>26</v>
      </c>
      <c r="E13" s="6" t="s">
        <v>27</v>
      </c>
      <c r="F13" s="6" t="s">
        <v>28</v>
      </c>
      <c r="G13" s="6" t="s">
        <v>29</v>
      </c>
      <c r="H13" s="1"/>
    </row>
    <row r="14" spans="2:8" ht="135" customHeight="1">
      <c r="B14" s="7">
        <v>46320</v>
      </c>
      <c r="C14" s="6" t="s">
        <v>13</v>
      </c>
      <c r="D14" s="6" t="s">
        <v>30</v>
      </c>
      <c r="E14" s="6" t="s">
        <v>27</v>
      </c>
      <c r="F14" s="6" t="s">
        <v>31</v>
      </c>
      <c r="G14" s="6" t="s">
        <v>32</v>
      </c>
      <c r="H14" s="1"/>
    </row>
    <row r="15" spans="2:8" ht="25.05" customHeight="1">
      <c r="B15" s="5" t="s">
        <v>33</v>
      </c>
      <c r="C15" s="25" t="s">
        <v>34</v>
      </c>
      <c r="D15" s="31"/>
      <c r="E15" s="31"/>
      <c r="F15" s="31"/>
      <c r="G15" s="32"/>
      <c r="H15" s="1"/>
    </row>
    <row r="16" spans="2:8" ht="25.05" customHeight="1">
      <c r="B16" s="5" t="s">
        <v>35</v>
      </c>
      <c r="C16" s="25" t="s">
        <v>36</v>
      </c>
      <c r="D16" s="31"/>
      <c r="E16" s="31"/>
      <c r="F16" s="31"/>
      <c r="G16" s="32"/>
      <c r="H16" s="1"/>
    </row>
    <row r="17" spans="2:8" ht="25.05" customHeight="1">
      <c r="B17" s="5" t="s">
        <v>37</v>
      </c>
      <c r="C17" s="25" t="s">
        <v>38</v>
      </c>
      <c r="D17" s="31"/>
      <c r="E17" s="31"/>
      <c r="F17" s="31"/>
      <c r="G17" s="32"/>
      <c r="H17" s="1"/>
    </row>
    <row r="18" spans="2:8" ht="25.05" customHeight="1">
      <c r="B18" s="5" t="s">
        <v>39</v>
      </c>
      <c r="C18" s="25" t="s">
        <v>40</v>
      </c>
      <c r="D18" s="31"/>
      <c r="E18" s="31"/>
      <c r="F18" s="31"/>
      <c r="G18" s="32"/>
      <c r="H18" s="1"/>
    </row>
    <row r="19" spans="2:8" ht="25.05" customHeight="1">
      <c r="B19" s="5" t="s">
        <v>41</v>
      </c>
      <c r="C19" s="25" t="s">
        <v>42</v>
      </c>
      <c r="D19" s="31"/>
      <c r="E19" s="31"/>
      <c r="F19" s="31"/>
      <c r="G19" s="32"/>
      <c r="H19" s="1"/>
    </row>
    <row r="20" spans="2:8" ht="58.05" customHeight="1">
      <c r="B20" s="5" t="s">
        <v>43</v>
      </c>
      <c r="C20" s="25" t="s">
        <v>44</v>
      </c>
      <c r="D20" s="31"/>
      <c r="E20" s="31"/>
      <c r="F20" s="31"/>
      <c r="G20" s="32"/>
      <c r="H20" s="1"/>
    </row>
    <row r="21" spans="2:8">
      <c r="B21" s="1"/>
      <c r="C21" s="1"/>
      <c r="D21" s="1"/>
      <c r="E21" s="1"/>
      <c r="F21" s="1"/>
      <c r="G21" s="1"/>
      <c r="H21" s="1"/>
    </row>
  </sheetData>
  <mergeCells count="11">
    <mergeCell ref="B2:G2"/>
    <mergeCell ref="C6:E7"/>
    <mergeCell ref="C20:G20"/>
    <mergeCell ref="C5:E5"/>
    <mergeCell ref="C16:G16"/>
    <mergeCell ref="C15:G15"/>
    <mergeCell ref="C4:E4"/>
    <mergeCell ref="C19:G19"/>
    <mergeCell ref="B6:B7"/>
    <mergeCell ref="C18:G18"/>
    <mergeCell ref="C17:G17"/>
  </mergeCells>
  <pageMargins left="0.7" right="0.7" top="0.75" bottom="0.75" header="0.3" footer="0.3"/>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2:H18"/>
  <sheetViews>
    <sheetView showGridLines="0" workbookViewId="0">
      <pane ySplit="8" topLeftCell="A9" activePane="bottomLeft" state="frozen"/>
      <selection pane="bottomLeft"/>
    </sheetView>
  </sheetViews>
  <sheetFormatPr defaultRowHeight="13.8"/>
  <cols>
    <col min="1" max="1" width="3" customWidth="1"/>
    <col min="2" max="2" width="7" customWidth="1"/>
    <col min="3" max="3" width="30" customWidth="1"/>
    <col min="4" max="4" width="24" customWidth="1"/>
    <col min="5" max="5" width="48" customWidth="1"/>
    <col min="6" max="6" width="45" customWidth="1"/>
    <col min="7" max="8" width="10" customWidth="1"/>
  </cols>
  <sheetData>
    <row r="2" spans="2:8" ht="42" customHeight="1">
      <c r="B2" s="23" t="s">
        <v>45</v>
      </c>
      <c r="C2" s="24"/>
      <c r="D2" s="24"/>
      <c r="E2" s="24"/>
      <c r="F2" s="24"/>
      <c r="G2" s="1"/>
      <c r="H2" s="1"/>
    </row>
    <row r="3" spans="2:8">
      <c r="B3" s="1"/>
      <c r="C3" s="1"/>
      <c r="D3" s="1"/>
      <c r="E3" s="1"/>
      <c r="F3" s="1"/>
      <c r="G3" s="1"/>
      <c r="H3" s="1"/>
    </row>
    <row r="4" spans="2:8">
      <c r="B4" s="25" t="s">
        <v>1</v>
      </c>
      <c r="C4" s="32"/>
      <c r="D4" s="25" t="str">
        <f>Cover!C4</f>
        <v>OrangeHRM – Kiểm thử phân hệ Leave</v>
      </c>
      <c r="E4" s="31"/>
      <c r="F4" s="32"/>
      <c r="G4" s="1"/>
      <c r="H4" s="1"/>
    </row>
    <row r="5" spans="2:8">
      <c r="B5" s="25" t="s">
        <v>5</v>
      </c>
      <c r="C5" s="32"/>
      <c r="D5" s="25" t="str">
        <f>Cover!C5</f>
        <v>Group01_OrangeHRM</v>
      </c>
      <c r="E5" s="31"/>
      <c r="F5" s="32"/>
      <c r="G5" s="1"/>
      <c r="H5" s="1"/>
    </row>
    <row r="6" spans="2:8" ht="43.95" customHeight="1">
      <c r="B6" s="25" t="s">
        <v>46</v>
      </c>
      <c r="C6" s="32"/>
      <c r="D6" s="25" t="s">
        <v>47</v>
      </c>
      <c r="E6" s="31"/>
      <c r="F6" s="32"/>
      <c r="G6" s="1"/>
      <c r="H6" s="1"/>
    </row>
    <row r="7" spans="2:8">
      <c r="B7" s="1"/>
      <c r="C7" s="1"/>
      <c r="D7" s="1"/>
      <c r="E7" s="1"/>
      <c r="F7" s="1"/>
      <c r="G7" s="1"/>
      <c r="H7" s="1"/>
    </row>
    <row r="8" spans="2:8">
      <c r="B8" s="8" t="s">
        <v>48</v>
      </c>
      <c r="C8" s="8" t="s">
        <v>49</v>
      </c>
      <c r="D8" s="8" t="s">
        <v>50</v>
      </c>
      <c r="E8" s="8" t="s">
        <v>51</v>
      </c>
      <c r="F8" s="8" t="s">
        <v>52</v>
      </c>
      <c r="G8" s="1"/>
      <c r="H8" s="1"/>
    </row>
    <row r="9" spans="2:8" ht="91.95" customHeight="1">
      <c r="B9" s="6">
        <v>1</v>
      </c>
      <c r="C9" s="6" t="s">
        <v>53</v>
      </c>
      <c r="D9" s="6" t="s">
        <v>54</v>
      </c>
      <c r="E9" s="6" t="s">
        <v>55</v>
      </c>
      <c r="F9" s="6" t="s">
        <v>56</v>
      </c>
      <c r="G9" s="1"/>
      <c r="H9" s="1"/>
    </row>
    <row r="10" spans="2:8" ht="91.95" customHeight="1">
      <c r="B10" s="6">
        <v>2</v>
      </c>
      <c r="C10" s="6" t="s">
        <v>57</v>
      </c>
      <c r="D10" s="6" t="s">
        <v>58</v>
      </c>
      <c r="E10" s="6" t="s">
        <v>59</v>
      </c>
      <c r="F10" s="6" t="s">
        <v>60</v>
      </c>
      <c r="G10" s="1"/>
      <c r="H10" s="1"/>
    </row>
    <row r="11" spans="2:8" ht="91.95" customHeight="1">
      <c r="B11" s="6">
        <v>3</v>
      </c>
      <c r="C11" s="6" t="s">
        <v>61</v>
      </c>
      <c r="D11" s="6" t="s">
        <v>62</v>
      </c>
      <c r="E11" s="6" t="s">
        <v>63</v>
      </c>
      <c r="F11" s="6" t="s">
        <v>64</v>
      </c>
      <c r="G11" s="1"/>
      <c r="H11" s="1"/>
    </row>
    <row r="12" spans="2:8">
      <c r="B12" s="1"/>
      <c r="C12" s="1"/>
      <c r="D12" s="1"/>
      <c r="E12" s="1"/>
      <c r="F12" s="1"/>
      <c r="G12" s="1"/>
      <c r="H12" s="1"/>
    </row>
    <row r="13" spans="2:8">
      <c r="B13" s="1"/>
      <c r="C13" s="1"/>
      <c r="D13" s="1"/>
      <c r="E13" s="1"/>
      <c r="F13" s="1"/>
      <c r="G13" s="1"/>
      <c r="H13" s="1"/>
    </row>
    <row r="14" spans="2:8" ht="46.05" customHeight="1">
      <c r="B14" s="25" t="s">
        <v>65</v>
      </c>
      <c r="C14" s="31"/>
      <c r="D14" s="31"/>
      <c r="E14" s="31"/>
      <c r="F14" s="32"/>
      <c r="G14" s="1"/>
      <c r="H14" s="1"/>
    </row>
    <row r="15" spans="2:8">
      <c r="B15" s="1"/>
      <c r="C15" s="1"/>
      <c r="D15" s="1"/>
      <c r="E15" s="1"/>
      <c r="F15" s="1"/>
      <c r="G15" s="1"/>
      <c r="H15" s="1"/>
    </row>
    <row r="16" spans="2:8" ht="78" customHeight="1">
      <c r="B16" s="25" t="s">
        <v>66</v>
      </c>
      <c r="C16" s="31"/>
      <c r="D16" s="31"/>
      <c r="E16" s="31"/>
      <c r="F16" s="32"/>
      <c r="G16" s="1"/>
      <c r="H16" s="1"/>
    </row>
    <row r="17" spans="2:8">
      <c r="B17" s="1"/>
      <c r="C17" s="1"/>
      <c r="D17" s="1"/>
      <c r="E17" s="1"/>
      <c r="F17" s="1"/>
      <c r="G17" s="1"/>
      <c r="H17" s="1"/>
    </row>
    <row r="18" spans="2:8">
      <c r="B18" s="1"/>
      <c r="C18" s="1"/>
      <c r="D18" s="1"/>
      <c r="E18" s="1"/>
      <c r="F18" s="1"/>
      <c r="G18" s="1"/>
      <c r="H18" s="1"/>
    </row>
  </sheetData>
  <mergeCells count="9">
    <mergeCell ref="B6:C6"/>
    <mergeCell ref="D5:F5"/>
    <mergeCell ref="B2:F2"/>
    <mergeCell ref="B16:F16"/>
    <mergeCell ref="B5:C5"/>
    <mergeCell ref="D4:F4"/>
    <mergeCell ref="B14:F14"/>
    <mergeCell ref="D6:F6"/>
    <mergeCell ref="B4:C4"/>
  </mergeCells>
  <hyperlinks>
    <hyperlink ref="D9" location="'LEAVE_CONFIG'!A9" display="LEAVE_CONFIG" xr:uid="{00000000-0004-0000-0100-000000000000}"/>
    <hyperlink ref="D10" location="'LEAVE_SELF'!A9" display="LEAVE_SELF" xr:uid="{00000000-0004-0000-0100-000001000000}"/>
    <hyperlink ref="D11" location="'LEAVE_ADMIN'!A9" display="LEAVE_ADMIN" xr:uid="{00000000-0004-0000-0100-000002000000}"/>
  </hyperlinks>
  <pageMargins left="0.7" right="0.7" top="0.75" bottom="0.75" header="0.3" footer="0.3"/>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7"/>
  <sheetViews>
    <sheetView showGridLines="0" workbookViewId="0">
      <pane ySplit="1" topLeftCell="A2" activePane="bottomLeft" state="frozen"/>
      <selection pane="bottomLeft"/>
    </sheetView>
  </sheetViews>
  <sheetFormatPr defaultRowHeight="13.8"/>
  <cols>
    <col min="1" max="1" width="18" customWidth="1"/>
    <col min="2" max="2" width="29" customWidth="1"/>
    <col min="3" max="3" width="33" customWidth="1"/>
    <col min="4" max="4" width="68" customWidth="1"/>
    <col min="5" max="5" width="27" customWidth="1"/>
    <col min="6" max="6" width="76" customWidth="1"/>
  </cols>
  <sheetData>
    <row r="1" spans="1:8" ht="30" customHeight="1">
      <c r="A1" s="8" t="s">
        <v>67</v>
      </c>
      <c r="B1" s="8" t="s">
        <v>68</v>
      </c>
      <c r="C1" s="8" t="s">
        <v>69</v>
      </c>
      <c r="D1" s="8" t="s">
        <v>70</v>
      </c>
      <c r="E1" s="8" t="s">
        <v>71</v>
      </c>
      <c r="F1" s="8" t="s">
        <v>72</v>
      </c>
      <c r="G1" s="1"/>
      <c r="H1" s="1"/>
    </row>
    <row r="2" spans="1:8" ht="100.05" customHeight="1">
      <c r="A2" s="9" t="s">
        <v>54</v>
      </c>
      <c r="B2" s="9" t="s">
        <v>53</v>
      </c>
      <c r="C2" s="9" t="s">
        <v>73</v>
      </c>
      <c r="D2" s="9" t="s">
        <v>74</v>
      </c>
      <c r="E2" s="9" t="s">
        <v>75</v>
      </c>
      <c r="F2" s="20" t="s">
        <v>76</v>
      </c>
      <c r="G2" s="1"/>
      <c r="H2" s="1"/>
    </row>
    <row r="3" spans="1:8" ht="100.05" customHeight="1">
      <c r="A3" s="9" t="s">
        <v>54</v>
      </c>
      <c r="B3" s="9" t="s">
        <v>53</v>
      </c>
      <c r="C3" s="9" t="s">
        <v>77</v>
      </c>
      <c r="D3" s="9" t="s">
        <v>78</v>
      </c>
      <c r="E3" s="9" t="s">
        <v>79</v>
      </c>
      <c r="F3" s="20" t="s">
        <v>80</v>
      </c>
      <c r="G3" s="1"/>
      <c r="H3" s="1"/>
    </row>
    <row r="4" spans="1:8" ht="100.05" customHeight="1">
      <c r="A4" s="9" t="s">
        <v>54</v>
      </c>
      <c r="B4" s="9" t="s">
        <v>53</v>
      </c>
      <c r="C4" s="9" t="s">
        <v>81</v>
      </c>
      <c r="D4" s="9" t="s">
        <v>82</v>
      </c>
      <c r="E4" s="9" t="s">
        <v>83</v>
      </c>
      <c r="F4" s="20" t="s">
        <v>84</v>
      </c>
      <c r="G4" s="1"/>
      <c r="H4" s="1"/>
    </row>
    <row r="5" spans="1:8" ht="100.05" customHeight="1">
      <c r="A5" s="9" t="s">
        <v>54</v>
      </c>
      <c r="B5" s="9" t="s">
        <v>53</v>
      </c>
      <c r="C5" s="9" t="s">
        <v>85</v>
      </c>
      <c r="D5" s="9" t="s">
        <v>86</v>
      </c>
      <c r="E5" s="9" t="s">
        <v>87</v>
      </c>
      <c r="F5" s="20" t="s">
        <v>88</v>
      </c>
      <c r="G5" s="1"/>
      <c r="H5" s="1"/>
    </row>
    <row r="6" spans="1:8" ht="100.05" customHeight="1">
      <c r="A6" s="9" t="s">
        <v>54</v>
      </c>
      <c r="B6" s="9" t="s">
        <v>53</v>
      </c>
      <c r="C6" s="9" t="s">
        <v>89</v>
      </c>
      <c r="D6" s="9" t="s">
        <v>90</v>
      </c>
      <c r="E6" s="9" t="s">
        <v>91</v>
      </c>
      <c r="F6" s="20" t="s">
        <v>92</v>
      </c>
      <c r="G6" s="1"/>
      <c r="H6" s="1"/>
    </row>
    <row r="7" spans="1:8" ht="100.05" customHeight="1">
      <c r="A7" s="9" t="s">
        <v>58</v>
      </c>
      <c r="B7" s="9" t="s">
        <v>57</v>
      </c>
      <c r="C7" s="9" t="s">
        <v>93</v>
      </c>
      <c r="D7" s="9" t="s">
        <v>94</v>
      </c>
      <c r="E7" s="9" t="s">
        <v>95</v>
      </c>
      <c r="F7" s="20" t="s">
        <v>96</v>
      </c>
      <c r="G7" s="1"/>
      <c r="H7" s="1"/>
    </row>
    <row r="8" spans="1:8" ht="100.05" customHeight="1">
      <c r="A8" s="9" t="s">
        <v>58</v>
      </c>
      <c r="B8" s="9" t="s">
        <v>57</v>
      </c>
      <c r="C8" s="9" t="s">
        <v>97</v>
      </c>
      <c r="D8" s="9" t="s">
        <v>98</v>
      </c>
      <c r="E8" s="9" t="s">
        <v>75</v>
      </c>
      <c r="F8" s="20" t="s">
        <v>99</v>
      </c>
      <c r="G8" s="1"/>
      <c r="H8" s="1"/>
    </row>
    <row r="9" spans="1:8" ht="100.05" customHeight="1">
      <c r="A9" s="9" t="s">
        <v>58</v>
      </c>
      <c r="B9" s="9" t="s">
        <v>57</v>
      </c>
      <c r="C9" s="9" t="s">
        <v>100</v>
      </c>
      <c r="D9" s="9" t="s">
        <v>101</v>
      </c>
      <c r="E9" s="9" t="s">
        <v>102</v>
      </c>
      <c r="F9" s="20" t="s">
        <v>103</v>
      </c>
      <c r="G9" s="1"/>
      <c r="H9" s="1"/>
    </row>
    <row r="10" spans="1:8" ht="100.05" customHeight="1">
      <c r="A10" s="9" t="s">
        <v>58</v>
      </c>
      <c r="B10" s="9" t="s">
        <v>57</v>
      </c>
      <c r="C10" s="9" t="s">
        <v>104</v>
      </c>
      <c r="D10" s="9" t="s">
        <v>105</v>
      </c>
      <c r="E10" s="9" t="s">
        <v>106</v>
      </c>
      <c r="F10" s="20" t="s">
        <v>107</v>
      </c>
      <c r="G10" s="1"/>
      <c r="H10" s="1"/>
    </row>
    <row r="11" spans="1:8" ht="100.05" customHeight="1">
      <c r="A11" s="9" t="s">
        <v>58</v>
      </c>
      <c r="B11" s="9" t="s">
        <v>57</v>
      </c>
      <c r="C11" s="9" t="s">
        <v>108</v>
      </c>
      <c r="D11" s="9" t="s">
        <v>109</v>
      </c>
      <c r="E11" s="9" t="s">
        <v>83</v>
      </c>
      <c r="F11" s="20" t="s">
        <v>110</v>
      </c>
      <c r="G11" s="1"/>
      <c r="H11" s="1"/>
    </row>
    <row r="12" spans="1:8" ht="100.05" customHeight="1">
      <c r="A12" s="9" t="s">
        <v>62</v>
      </c>
      <c r="B12" s="9" t="s">
        <v>61</v>
      </c>
      <c r="C12" s="9" t="s">
        <v>111</v>
      </c>
      <c r="D12" s="9" t="s">
        <v>112</v>
      </c>
      <c r="E12" s="9" t="s">
        <v>113</v>
      </c>
      <c r="F12" s="20" t="s">
        <v>114</v>
      </c>
      <c r="G12" s="1"/>
      <c r="H12" s="1"/>
    </row>
    <row r="13" spans="1:8" ht="100.05" customHeight="1">
      <c r="A13" s="9" t="s">
        <v>62</v>
      </c>
      <c r="B13" s="9" t="s">
        <v>61</v>
      </c>
      <c r="C13" s="9" t="s">
        <v>115</v>
      </c>
      <c r="D13" s="9" t="s">
        <v>116</v>
      </c>
      <c r="E13" s="9" t="s">
        <v>83</v>
      </c>
      <c r="F13" s="20" t="s">
        <v>117</v>
      </c>
      <c r="G13" s="1"/>
      <c r="H13" s="1"/>
    </row>
    <row r="14" spans="1:8" ht="100.05" customHeight="1">
      <c r="A14" s="9" t="s">
        <v>62</v>
      </c>
      <c r="B14" s="9" t="s">
        <v>61</v>
      </c>
      <c r="C14" s="9" t="s">
        <v>118</v>
      </c>
      <c r="D14" s="9" t="s">
        <v>119</v>
      </c>
      <c r="E14" s="9" t="s">
        <v>120</v>
      </c>
      <c r="F14" s="20" t="s">
        <v>121</v>
      </c>
      <c r="G14" s="1"/>
      <c r="H14" s="1"/>
    </row>
    <row r="15" spans="1:8" ht="100.05" customHeight="1">
      <c r="A15" s="9" t="s">
        <v>62</v>
      </c>
      <c r="B15" s="9" t="s">
        <v>61</v>
      </c>
      <c r="C15" s="9" t="s">
        <v>122</v>
      </c>
      <c r="D15" s="9" t="s">
        <v>123</v>
      </c>
      <c r="E15" s="9" t="s">
        <v>124</v>
      </c>
      <c r="F15" s="20" t="s">
        <v>125</v>
      </c>
      <c r="G15" s="1"/>
      <c r="H15" s="1"/>
    </row>
    <row r="16" spans="1:8" ht="100.05" customHeight="1">
      <c r="A16" s="9" t="s">
        <v>62</v>
      </c>
      <c r="B16" s="9" t="s">
        <v>61</v>
      </c>
      <c r="C16" s="9" t="s">
        <v>126</v>
      </c>
      <c r="D16" s="9" t="s">
        <v>127</v>
      </c>
      <c r="E16" s="9" t="s">
        <v>124</v>
      </c>
      <c r="F16" s="20" t="s">
        <v>128</v>
      </c>
      <c r="G16" s="1"/>
      <c r="H16" s="1"/>
    </row>
    <row r="17" spans="1:8">
      <c r="A17" s="1"/>
      <c r="B17" s="1"/>
      <c r="C17" s="1"/>
      <c r="D17" s="1"/>
      <c r="E17" s="1"/>
      <c r="F17" s="1"/>
      <c r="G17" s="1"/>
      <c r="H17" s="1"/>
    </row>
  </sheetData>
  <pageMargins left="0.7" right="0.7"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E78"/>
    <pageSetUpPr fitToPage="1"/>
  </sheetPr>
  <dimension ref="A1:H33"/>
  <sheetViews>
    <sheetView zoomScale="75" workbookViewId="0">
      <pane xSplit="1" ySplit="8" topLeftCell="B9" activePane="bottomRight" state="frozen"/>
      <selection pane="topRight"/>
      <selection pane="bottomLeft"/>
      <selection pane="bottomRight" activeCell="B9" sqref="B9"/>
    </sheetView>
  </sheetViews>
  <sheetFormatPr defaultRowHeight="13.8"/>
  <cols>
    <col min="1" max="1" width="25" customWidth="1"/>
    <col min="2" max="2" width="36" customWidth="1"/>
    <col min="3" max="3" width="72" customWidth="1"/>
    <col min="4" max="4" width="65" customWidth="1"/>
    <col min="5" max="5" width="31" customWidth="1"/>
    <col min="6" max="6" width="14" customWidth="1"/>
    <col min="7" max="7" width="15" customWidth="1"/>
    <col min="8" max="8" width="58" customWidth="1"/>
  </cols>
  <sheetData>
    <row r="1" spans="1:8">
      <c r="A1" s="1"/>
      <c r="B1" s="1"/>
      <c r="C1" s="1"/>
      <c r="D1" s="1"/>
      <c r="E1" s="1"/>
      <c r="F1" s="1"/>
      <c r="G1" s="1"/>
      <c r="H1" s="1"/>
    </row>
    <row r="2" spans="1:8">
      <c r="A2" s="2" t="s">
        <v>129</v>
      </c>
      <c r="B2" s="37" t="s">
        <v>54</v>
      </c>
      <c r="C2" s="24"/>
      <c r="D2" s="24"/>
      <c r="E2" s="24"/>
      <c r="F2" s="24"/>
      <c r="G2" s="24"/>
      <c r="H2" s="24"/>
    </row>
    <row r="3" spans="1:8">
      <c r="A3" s="2" t="s">
        <v>130</v>
      </c>
      <c r="B3" s="37" t="s">
        <v>53</v>
      </c>
      <c r="C3" s="24"/>
      <c r="D3" s="24"/>
      <c r="E3" s="24"/>
      <c r="F3" s="24"/>
      <c r="G3" s="24"/>
      <c r="H3" s="24"/>
    </row>
    <row r="4" spans="1:8">
      <c r="A4" s="2" t="s">
        <v>131</v>
      </c>
      <c r="B4" s="37" t="s">
        <v>132</v>
      </c>
      <c r="C4" s="24"/>
      <c r="D4" s="24"/>
      <c r="E4" s="24"/>
      <c r="F4" s="24"/>
      <c r="G4" s="24"/>
      <c r="H4" s="24"/>
    </row>
    <row r="5" spans="1:8" ht="24" customHeight="1">
      <c r="A5" s="10" t="s">
        <v>133</v>
      </c>
      <c r="B5" s="10" t="s">
        <v>134</v>
      </c>
      <c r="C5" s="10" t="s">
        <v>135</v>
      </c>
      <c r="D5" s="10" t="s">
        <v>136</v>
      </c>
      <c r="E5" s="10" t="s">
        <v>137</v>
      </c>
      <c r="F5" s="36" t="s">
        <v>138</v>
      </c>
      <c r="G5" s="31"/>
      <c r="H5" s="32"/>
    </row>
    <row r="6" spans="1:8" ht="24" customHeight="1">
      <c r="A6" s="11">
        <f>COUNTIF($F$9:$F$33,"Passed")</f>
        <v>25</v>
      </c>
      <c r="B6" s="11">
        <f>COUNTIF($F$9:$F$33,"Failed")</f>
        <v>0</v>
      </c>
      <c r="C6" s="11">
        <f>COUNTIF($F$9:$F$33,"Untested")</f>
        <v>0</v>
      </c>
      <c r="D6" s="11">
        <f>COUNTIF($F$9:$F$33,"Blocked")</f>
        <v>0</v>
      </c>
      <c r="E6" s="11">
        <f>COUNTIF($F$9:$F$33,"Skipped")</f>
        <v>0</v>
      </c>
      <c r="F6" s="35">
        <f>COUNTA(A9:A33)</f>
        <v>25</v>
      </c>
      <c r="G6" s="31"/>
      <c r="H6" s="32"/>
    </row>
    <row r="7" spans="1:8">
      <c r="A7" s="1"/>
      <c r="B7" s="1"/>
      <c r="C7" s="1"/>
      <c r="D7" s="1"/>
      <c r="E7" s="1"/>
      <c r="F7" s="1"/>
      <c r="G7" s="1"/>
      <c r="H7" s="1"/>
    </row>
    <row r="8" spans="1:8" ht="34.049999999999997" customHeight="1">
      <c r="A8" s="8" t="s">
        <v>139</v>
      </c>
      <c r="B8" s="8" t="s">
        <v>140</v>
      </c>
      <c r="C8" s="8" t="s">
        <v>141</v>
      </c>
      <c r="D8" s="8" t="s">
        <v>142</v>
      </c>
      <c r="E8" s="8" t="s">
        <v>143</v>
      </c>
      <c r="F8" s="8" t="s">
        <v>144</v>
      </c>
      <c r="G8" s="8" t="s">
        <v>145</v>
      </c>
      <c r="H8" s="8" t="s">
        <v>72</v>
      </c>
    </row>
    <row r="9" spans="1:8" ht="244.05" customHeight="1">
      <c r="A9" s="9" t="s">
        <v>146</v>
      </c>
      <c r="B9" s="9" t="s">
        <v>147</v>
      </c>
      <c r="C9" s="9" t="s">
        <v>148</v>
      </c>
      <c r="D9" s="9" t="s">
        <v>149</v>
      </c>
      <c r="E9" s="9" t="s">
        <v>150</v>
      </c>
      <c r="F9" s="12" t="s">
        <v>133</v>
      </c>
      <c r="G9" s="13">
        <v>46321</v>
      </c>
      <c r="H9" s="21" t="s">
        <v>151</v>
      </c>
    </row>
    <row r="10" spans="1:8" ht="316.5" customHeight="1">
      <c r="A10" s="14" t="s">
        <v>152</v>
      </c>
      <c r="B10" s="14" t="s">
        <v>153</v>
      </c>
      <c r="C10" s="14" t="s">
        <v>154</v>
      </c>
      <c r="D10" s="14" t="s">
        <v>155</v>
      </c>
      <c r="E10" s="14" t="s">
        <v>156</v>
      </c>
      <c r="F10" s="12" t="s">
        <v>133</v>
      </c>
      <c r="G10" s="15">
        <v>46320</v>
      </c>
      <c r="H10" s="22" t="s">
        <v>157</v>
      </c>
    </row>
    <row r="11" spans="1:8" ht="301.95" customHeight="1">
      <c r="A11" s="9" t="s">
        <v>158</v>
      </c>
      <c r="B11" s="9" t="s">
        <v>159</v>
      </c>
      <c r="C11" s="9" t="s">
        <v>160</v>
      </c>
      <c r="D11" s="9" t="s">
        <v>161</v>
      </c>
      <c r="E11" s="9" t="s">
        <v>162</v>
      </c>
      <c r="F11" s="12" t="s">
        <v>133</v>
      </c>
      <c r="G11" s="13">
        <v>46320</v>
      </c>
      <c r="H11" s="21" t="s">
        <v>163</v>
      </c>
    </row>
    <row r="12" spans="1:8" ht="316.5" customHeight="1">
      <c r="A12" s="14" t="s">
        <v>164</v>
      </c>
      <c r="B12" s="14" t="s">
        <v>165</v>
      </c>
      <c r="C12" s="14" t="s">
        <v>166</v>
      </c>
      <c r="D12" s="14" t="s">
        <v>167</v>
      </c>
      <c r="E12" s="14" t="s">
        <v>156</v>
      </c>
      <c r="F12" s="12" t="s">
        <v>133</v>
      </c>
      <c r="G12" s="15">
        <v>46320</v>
      </c>
      <c r="H12" s="22" t="s">
        <v>168</v>
      </c>
    </row>
    <row r="13" spans="1:8" ht="316.5" customHeight="1">
      <c r="A13" s="9" t="s">
        <v>169</v>
      </c>
      <c r="B13" s="9" t="s">
        <v>170</v>
      </c>
      <c r="C13" s="9" t="s">
        <v>171</v>
      </c>
      <c r="D13" s="9" t="s">
        <v>172</v>
      </c>
      <c r="E13" s="9" t="s">
        <v>156</v>
      </c>
      <c r="F13" s="12" t="s">
        <v>133</v>
      </c>
      <c r="G13" s="13">
        <v>46320</v>
      </c>
      <c r="H13" s="21" t="s">
        <v>173</v>
      </c>
    </row>
    <row r="14" spans="1:8" ht="316.5" customHeight="1">
      <c r="A14" s="14" t="s">
        <v>174</v>
      </c>
      <c r="B14" s="14" t="s">
        <v>175</v>
      </c>
      <c r="C14" s="14" t="s">
        <v>176</v>
      </c>
      <c r="D14" s="14" t="s">
        <v>177</v>
      </c>
      <c r="E14" s="14" t="s">
        <v>156</v>
      </c>
      <c r="F14" s="12" t="s">
        <v>133</v>
      </c>
      <c r="G14" s="15">
        <v>46320</v>
      </c>
      <c r="H14" s="22" t="s">
        <v>178</v>
      </c>
    </row>
    <row r="15" spans="1:8" ht="301.95" customHeight="1">
      <c r="A15" s="9" t="s">
        <v>179</v>
      </c>
      <c r="B15" s="9" t="s">
        <v>180</v>
      </c>
      <c r="C15" s="9" t="s">
        <v>181</v>
      </c>
      <c r="D15" s="9" t="s">
        <v>182</v>
      </c>
      <c r="E15" s="9" t="s">
        <v>183</v>
      </c>
      <c r="F15" s="12" t="s">
        <v>133</v>
      </c>
      <c r="G15" s="13">
        <v>46320</v>
      </c>
      <c r="H15" s="21" t="s">
        <v>163</v>
      </c>
    </row>
    <row r="16" spans="1:8" ht="258.45" customHeight="1">
      <c r="A16" s="14" t="s">
        <v>184</v>
      </c>
      <c r="B16" s="14" t="s">
        <v>185</v>
      </c>
      <c r="C16" s="14" t="s">
        <v>186</v>
      </c>
      <c r="D16" s="14" t="s">
        <v>187</v>
      </c>
      <c r="E16" s="14" t="s">
        <v>156</v>
      </c>
      <c r="F16" s="12" t="s">
        <v>133</v>
      </c>
      <c r="G16" s="15">
        <v>46321</v>
      </c>
      <c r="H16" s="22" t="s">
        <v>188</v>
      </c>
    </row>
    <row r="17" spans="1:8" ht="301.95" customHeight="1">
      <c r="A17" s="9" t="s">
        <v>189</v>
      </c>
      <c r="B17" s="9" t="s">
        <v>190</v>
      </c>
      <c r="C17" s="9" t="s">
        <v>191</v>
      </c>
      <c r="D17" s="9" t="s">
        <v>192</v>
      </c>
      <c r="E17" s="9" t="s">
        <v>193</v>
      </c>
      <c r="F17" s="12" t="s">
        <v>133</v>
      </c>
      <c r="G17" s="13">
        <v>46320</v>
      </c>
      <c r="H17" s="21" t="s">
        <v>194</v>
      </c>
    </row>
    <row r="18" spans="1:8" ht="316.5" customHeight="1">
      <c r="A18" s="14" t="s">
        <v>195</v>
      </c>
      <c r="B18" s="14" t="s">
        <v>196</v>
      </c>
      <c r="C18" s="14" t="s">
        <v>197</v>
      </c>
      <c r="D18" s="14" t="s">
        <v>198</v>
      </c>
      <c r="E18" s="14" t="s">
        <v>156</v>
      </c>
      <c r="F18" s="12" t="s">
        <v>133</v>
      </c>
      <c r="G18" s="15">
        <v>46320</v>
      </c>
      <c r="H18" s="22" t="s">
        <v>199</v>
      </c>
    </row>
    <row r="19" spans="1:8" ht="316.5" customHeight="1">
      <c r="A19" s="9" t="s">
        <v>200</v>
      </c>
      <c r="B19" s="9" t="s">
        <v>201</v>
      </c>
      <c r="C19" s="9" t="s">
        <v>202</v>
      </c>
      <c r="D19" s="9" t="s">
        <v>203</v>
      </c>
      <c r="E19" s="9" t="s">
        <v>156</v>
      </c>
      <c r="F19" s="12" t="s">
        <v>133</v>
      </c>
      <c r="G19" s="13">
        <v>46320</v>
      </c>
      <c r="H19" s="21" t="s">
        <v>199</v>
      </c>
    </row>
    <row r="20" spans="1:8" ht="316.5" customHeight="1">
      <c r="A20" s="14" t="s">
        <v>204</v>
      </c>
      <c r="B20" s="14" t="s">
        <v>205</v>
      </c>
      <c r="C20" s="14" t="s">
        <v>206</v>
      </c>
      <c r="D20" s="14" t="s">
        <v>207</v>
      </c>
      <c r="E20" s="14" t="s">
        <v>156</v>
      </c>
      <c r="F20" s="12" t="s">
        <v>133</v>
      </c>
      <c r="G20" s="15">
        <v>46320</v>
      </c>
      <c r="H20" s="22" t="s">
        <v>208</v>
      </c>
    </row>
    <row r="21" spans="1:8" ht="316.5" customHeight="1">
      <c r="A21" s="9" t="s">
        <v>209</v>
      </c>
      <c r="B21" s="9" t="s">
        <v>210</v>
      </c>
      <c r="C21" s="9" t="s">
        <v>211</v>
      </c>
      <c r="D21" s="9" t="s">
        <v>212</v>
      </c>
      <c r="E21" s="9" t="s">
        <v>156</v>
      </c>
      <c r="F21" s="12" t="s">
        <v>133</v>
      </c>
      <c r="G21" s="13">
        <v>46320</v>
      </c>
      <c r="H21" s="21" t="s">
        <v>199</v>
      </c>
    </row>
    <row r="22" spans="1:8" ht="316.5" customHeight="1">
      <c r="A22" s="14" t="s">
        <v>213</v>
      </c>
      <c r="B22" s="14" t="s">
        <v>214</v>
      </c>
      <c r="C22" s="14" t="s">
        <v>215</v>
      </c>
      <c r="D22" s="14" t="s">
        <v>216</v>
      </c>
      <c r="E22" s="14" t="s">
        <v>156</v>
      </c>
      <c r="F22" s="12" t="s">
        <v>133</v>
      </c>
      <c r="G22" s="15">
        <v>46320</v>
      </c>
      <c r="H22" s="22" t="s">
        <v>199</v>
      </c>
    </row>
    <row r="23" spans="1:8" ht="316.5" customHeight="1">
      <c r="A23" s="9" t="s">
        <v>217</v>
      </c>
      <c r="B23" s="9" t="s">
        <v>218</v>
      </c>
      <c r="C23" s="9" t="s">
        <v>219</v>
      </c>
      <c r="D23" s="9" t="s">
        <v>220</v>
      </c>
      <c r="E23" s="9" t="s">
        <v>156</v>
      </c>
      <c r="F23" s="12" t="s">
        <v>133</v>
      </c>
      <c r="G23" s="13">
        <v>46320</v>
      </c>
      <c r="H23" s="21" t="s">
        <v>199</v>
      </c>
    </row>
    <row r="24" spans="1:8" ht="244.05" customHeight="1">
      <c r="A24" s="14" t="s">
        <v>221</v>
      </c>
      <c r="B24" s="14" t="s">
        <v>222</v>
      </c>
      <c r="C24" s="14" t="s">
        <v>223</v>
      </c>
      <c r="D24" s="14" t="s">
        <v>224</v>
      </c>
      <c r="E24" s="14" t="s">
        <v>225</v>
      </c>
      <c r="F24" s="12" t="s">
        <v>133</v>
      </c>
      <c r="G24" s="15">
        <v>46321</v>
      </c>
      <c r="H24" s="22" t="s">
        <v>226</v>
      </c>
    </row>
    <row r="25" spans="1:8" ht="258.45" customHeight="1">
      <c r="A25" s="9" t="s">
        <v>227</v>
      </c>
      <c r="B25" s="9" t="s">
        <v>228</v>
      </c>
      <c r="C25" s="9" t="s">
        <v>229</v>
      </c>
      <c r="D25" s="9" t="s">
        <v>230</v>
      </c>
      <c r="E25" s="9" t="s">
        <v>156</v>
      </c>
      <c r="F25" s="12" t="s">
        <v>133</v>
      </c>
      <c r="G25" s="13">
        <v>46320</v>
      </c>
      <c r="H25" s="21" t="s">
        <v>231</v>
      </c>
    </row>
    <row r="26" spans="1:8" ht="316.5" customHeight="1">
      <c r="A26" s="14" t="s">
        <v>232</v>
      </c>
      <c r="B26" s="14" t="s">
        <v>233</v>
      </c>
      <c r="C26" s="14" t="s">
        <v>234</v>
      </c>
      <c r="D26" s="14" t="s">
        <v>235</v>
      </c>
      <c r="E26" s="14" t="s">
        <v>156</v>
      </c>
      <c r="F26" s="12" t="s">
        <v>133</v>
      </c>
      <c r="G26" s="15">
        <v>46320</v>
      </c>
      <c r="H26" s="22" t="s">
        <v>236</v>
      </c>
    </row>
    <row r="27" spans="1:8" ht="316.5" customHeight="1">
      <c r="A27" s="9" t="s">
        <v>237</v>
      </c>
      <c r="B27" s="9" t="s">
        <v>238</v>
      </c>
      <c r="C27" s="9" t="s">
        <v>239</v>
      </c>
      <c r="D27" s="9" t="s">
        <v>240</v>
      </c>
      <c r="E27" s="9" t="s">
        <v>156</v>
      </c>
      <c r="F27" s="12" t="s">
        <v>133</v>
      </c>
      <c r="G27" s="13">
        <v>46320</v>
      </c>
      <c r="H27" s="21" t="s">
        <v>236</v>
      </c>
    </row>
    <row r="28" spans="1:8" ht="316.5" customHeight="1">
      <c r="A28" s="14" t="s">
        <v>241</v>
      </c>
      <c r="B28" s="14" t="s">
        <v>242</v>
      </c>
      <c r="C28" s="14" t="s">
        <v>243</v>
      </c>
      <c r="D28" s="14" t="s">
        <v>244</v>
      </c>
      <c r="E28" s="14" t="s">
        <v>156</v>
      </c>
      <c r="F28" s="12" t="s">
        <v>133</v>
      </c>
      <c r="G28" s="15">
        <v>46320</v>
      </c>
      <c r="H28" s="22" t="s">
        <v>236</v>
      </c>
    </row>
    <row r="29" spans="1:8" ht="316.5" customHeight="1">
      <c r="A29" s="9" t="s">
        <v>245</v>
      </c>
      <c r="B29" s="9" t="s">
        <v>246</v>
      </c>
      <c r="C29" s="9" t="s">
        <v>247</v>
      </c>
      <c r="D29" s="9" t="s">
        <v>248</v>
      </c>
      <c r="E29" s="9" t="s">
        <v>156</v>
      </c>
      <c r="F29" s="12" t="s">
        <v>133</v>
      </c>
      <c r="G29" s="13">
        <v>46320</v>
      </c>
      <c r="H29" s="21" t="s">
        <v>236</v>
      </c>
    </row>
    <row r="30" spans="1:8" ht="316.5" customHeight="1">
      <c r="A30" s="14" t="s">
        <v>249</v>
      </c>
      <c r="B30" s="14" t="s">
        <v>250</v>
      </c>
      <c r="C30" s="14" t="s">
        <v>251</v>
      </c>
      <c r="D30" s="14" t="s">
        <v>252</v>
      </c>
      <c r="E30" s="14" t="s">
        <v>156</v>
      </c>
      <c r="F30" s="12" t="s">
        <v>133</v>
      </c>
      <c r="G30" s="15">
        <v>46320</v>
      </c>
      <c r="H30" s="22" t="s">
        <v>236</v>
      </c>
    </row>
    <row r="31" spans="1:8" ht="316.5" customHeight="1">
      <c r="A31" s="9" t="s">
        <v>253</v>
      </c>
      <c r="B31" s="9" t="s">
        <v>254</v>
      </c>
      <c r="C31" s="9" t="s">
        <v>255</v>
      </c>
      <c r="D31" s="9" t="s">
        <v>256</v>
      </c>
      <c r="E31" s="9" t="s">
        <v>156</v>
      </c>
      <c r="F31" s="12" t="s">
        <v>133</v>
      </c>
      <c r="G31" s="13">
        <v>46320</v>
      </c>
      <c r="H31" s="21" t="s">
        <v>257</v>
      </c>
    </row>
    <row r="32" spans="1:8" ht="316.5" customHeight="1">
      <c r="A32" s="14" t="s">
        <v>258</v>
      </c>
      <c r="B32" s="14" t="s">
        <v>259</v>
      </c>
      <c r="C32" s="14" t="s">
        <v>260</v>
      </c>
      <c r="D32" s="14" t="s">
        <v>261</v>
      </c>
      <c r="E32" s="14" t="s">
        <v>156</v>
      </c>
      <c r="F32" s="12" t="s">
        <v>133</v>
      </c>
      <c r="G32" s="15">
        <v>46320</v>
      </c>
      <c r="H32" s="22" t="s">
        <v>257</v>
      </c>
    </row>
    <row r="33" spans="1:8" ht="316.5" customHeight="1">
      <c r="A33" s="9" t="s">
        <v>262</v>
      </c>
      <c r="B33" s="9" t="s">
        <v>263</v>
      </c>
      <c r="C33" s="9" t="s">
        <v>264</v>
      </c>
      <c r="D33" s="9" t="s">
        <v>265</v>
      </c>
      <c r="E33" s="9" t="s">
        <v>156</v>
      </c>
      <c r="F33" s="12" t="s">
        <v>133</v>
      </c>
      <c r="G33" s="13">
        <v>46320</v>
      </c>
      <c r="H33" s="21" t="s">
        <v>266</v>
      </c>
    </row>
  </sheetData>
  <autoFilter ref="A8:H33" xr:uid="{00000000-0009-0000-0000-000003000000}"/>
  <mergeCells count="5">
    <mergeCell ref="F6:H6"/>
    <mergeCell ref="F5:H5"/>
    <mergeCell ref="B4:H4"/>
    <mergeCell ref="B2:H2"/>
    <mergeCell ref="B3:H3"/>
  </mergeCells>
  <conditionalFormatting sqref="F9:F33">
    <cfRule type="containsText" dxfId="11" priority="1" operator="containsText" text="Passed"/>
    <cfRule type="containsText" dxfId="10" priority="2" operator="containsText" text="Failed"/>
    <cfRule type="containsText" dxfId="9" priority="3" operator="containsText" text="Blocked"/>
    <cfRule type="containsText" dxfId="8" priority="4" operator="containsText" text="Skipped"/>
  </conditionalFormatting>
  <dataValidations count="1">
    <dataValidation type="list" showInputMessage="1" showErrorMessage="1" errorTitle="Result không hợp lệ" error="Chọn Passed, Failed, Untested, Blocked hoặc Skipped. Chỉ ghi Passed sau khi kiểm chứng expected." promptTitle="Kết quả thực thi" prompt="Case chưa chạy giữ Untested; ghi actual và ảnh trong Note khi đã chạy." sqref="F9:F33" xr:uid="{00000000-0002-0000-0300-000000000000}">
      <formula1>"Passed,Failed,Untested,Blocked,Skipped"</formula1>
    </dataValidation>
  </dataValidations>
  <hyperlinks>
    <hyperlink ref="H9" r:id="rId1" xr:uid="{00000000-0004-0000-0300-000000000000}"/>
    <hyperlink ref="H10" r:id="rId2" xr:uid="{00000000-0004-0000-0300-000001000000}"/>
    <hyperlink ref="H11" r:id="rId3" xr:uid="{00000000-0004-0000-0300-000002000000}"/>
    <hyperlink ref="H12" r:id="rId4" xr:uid="{00000000-0004-0000-0300-000003000000}"/>
    <hyperlink ref="H13" r:id="rId5" xr:uid="{00000000-0004-0000-0300-000004000000}"/>
    <hyperlink ref="H14" r:id="rId6" xr:uid="{00000000-0004-0000-0300-000005000000}"/>
    <hyperlink ref="H15" r:id="rId7" xr:uid="{00000000-0004-0000-0300-000006000000}"/>
    <hyperlink ref="H16" r:id="rId8" xr:uid="{00000000-0004-0000-0300-000007000000}"/>
    <hyperlink ref="H17" r:id="rId9" xr:uid="{00000000-0004-0000-0300-000008000000}"/>
    <hyperlink ref="H18" r:id="rId10" xr:uid="{00000000-0004-0000-0300-000009000000}"/>
    <hyperlink ref="H19" r:id="rId11" xr:uid="{00000000-0004-0000-0300-00000A000000}"/>
    <hyperlink ref="H20" r:id="rId12" xr:uid="{00000000-0004-0000-0300-00000B000000}"/>
    <hyperlink ref="H21" r:id="rId13" xr:uid="{00000000-0004-0000-0300-00000C000000}"/>
    <hyperlink ref="H22" r:id="rId14" xr:uid="{00000000-0004-0000-0300-00000D000000}"/>
    <hyperlink ref="H23" r:id="rId15" xr:uid="{00000000-0004-0000-0300-00000E000000}"/>
    <hyperlink ref="H24" r:id="rId16" xr:uid="{00000000-0004-0000-0300-00000F000000}"/>
    <hyperlink ref="H25" r:id="rId17" xr:uid="{00000000-0004-0000-0300-000010000000}"/>
    <hyperlink ref="H26" r:id="rId18" xr:uid="{00000000-0004-0000-0300-000011000000}"/>
    <hyperlink ref="H27" r:id="rId19" xr:uid="{00000000-0004-0000-0300-000012000000}"/>
    <hyperlink ref="H28" r:id="rId20" xr:uid="{00000000-0004-0000-0300-000013000000}"/>
    <hyperlink ref="H29" r:id="rId21" xr:uid="{00000000-0004-0000-0300-000014000000}"/>
    <hyperlink ref="H30" r:id="rId22" xr:uid="{00000000-0004-0000-0300-000015000000}"/>
    <hyperlink ref="H31" r:id="rId23" xr:uid="{00000000-0004-0000-0300-000016000000}"/>
    <hyperlink ref="H32" r:id="rId24" xr:uid="{00000000-0004-0000-0300-000017000000}"/>
    <hyperlink ref="H33" r:id="rId25" xr:uid="{00000000-0004-0000-0300-000018000000}"/>
  </hyperlinks>
  <pageMargins left="0.7" right="0.7"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E78"/>
    <pageSetUpPr fitToPage="1"/>
  </sheetPr>
  <dimension ref="A1:H33"/>
  <sheetViews>
    <sheetView zoomScale="75" workbookViewId="0">
      <pane xSplit="1" ySplit="8" topLeftCell="B9" activePane="bottomRight" state="frozen"/>
      <selection pane="topRight"/>
      <selection pane="bottomLeft"/>
      <selection pane="bottomRight" activeCell="B9" sqref="B9"/>
    </sheetView>
  </sheetViews>
  <sheetFormatPr defaultRowHeight="13.8"/>
  <cols>
    <col min="1" max="1" width="25" customWidth="1"/>
    <col min="2" max="2" width="36" customWidth="1"/>
    <col min="3" max="3" width="72" customWidth="1"/>
    <col min="4" max="4" width="65" customWidth="1"/>
    <col min="5" max="5" width="31" customWidth="1"/>
    <col min="6" max="6" width="14" customWidth="1"/>
    <col min="7" max="7" width="15" customWidth="1"/>
    <col min="8" max="8" width="58" customWidth="1"/>
  </cols>
  <sheetData>
    <row r="1" spans="1:8">
      <c r="A1" s="1"/>
      <c r="B1" s="1"/>
      <c r="C1" s="1"/>
      <c r="D1" s="1"/>
      <c r="E1" s="1"/>
      <c r="F1" s="1"/>
      <c r="G1" s="1"/>
      <c r="H1" s="1"/>
    </row>
    <row r="2" spans="1:8">
      <c r="A2" s="2" t="s">
        <v>129</v>
      </c>
      <c r="B2" s="37" t="s">
        <v>58</v>
      </c>
      <c r="C2" s="24"/>
      <c r="D2" s="24"/>
      <c r="E2" s="24"/>
      <c r="F2" s="24"/>
      <c r="G2" s="24"/>
      <c r="H2" s="24"/>
    </row>
    <row r="3" spans="1:8">
      <c r="A3" s="2" t="s">
        <v>130</v>
      </c>
      <c r="B3" s="37" t="s">
        <v>57</v>
      </c>
      <c r="C3" s="24"/>
      <c r="D3" s="24"/>
      <c r="E3" s="24"/>
      <c r="F3" s="24"/>
      <c r="G3" s="24"/>
      <c r="H3" s="24"/>
    </row>
    <row r="4" spans="1:8">
      <c r="A4" s="2" t="s">
        <v>131</v>
      </c>
      <c r="B4" s="37" t="s">
        <v>132</v>
      </c>
      <c r="C4" s="24"/>
      <c r="D4" s="24"/>
      <c r="E4" s="24"/>
      <c r="F4" s="24"/>
      <c r="G4" s="24"/>
      <c r="H4" s="24"/>
    </row>
    <row r="5" spans="1:8" ht="24" customHeight="1">
      <c r="A5" s="10" t="s">
        <v>133</v>
      </c>
      <c r="B5" s="10" t="s">
        <v>134</v>
      </c>
      <c r="C5" s="10" t="s">
        <v>135</v>
      </c>
      <c r="D5" s="10" t="s">
        <v>136</v>
      </c>
      <c r="E5" s="10" t="s">
        <v>137</v>
      </c>
      <c r="F5" s="36" t="s">
        <v>138</v>
      </c>
      <c r="G5" s="31"/>
      <c r="H5" s="32"/>
    </row>
    <row r="6" spans="1:8" ht="24" customHeight="1">
      <c r="A6" s="11">
        <f>COUNTIF($F$9:$F$33,"Passed")</f>
        <v>25</v>
      </c>
      <c r="B6" s="11">
        <f>COUNTIF($F$9:$F$33,"Failed")</f>
        <v>0</v>
      </c>
      <c r="C6" s="11">
        <f>COUNTIF($F$9:$F$33,"Untested")</f>
        <v>0</v>
      </c>
      <c r="D6" s="11">
        <f>COUNTIF($F$9:$F$33,"Blocked")</f>
        <v>0</v>
      </c>
      <c r="E6" s="11">
        <f>COUNTIF($F$9:$F$33,"Skipped")</f>
        <v>0</v>
      </c>
      <c r="F6" s="35">
        <f>COUNTA(A9:A33)</f>
        <v>25</v>
      </c>
      <c r="G6" s="31"/>
      <c r="H6" s="32"/>
    </row>
    <row r="7" spans="1:8">
      <c r="A7" s="1"/>
      <c r="B7" s="1"/>
      <c r="C7" s="1"/>
      <c r="D7" s="1"/>
      <c r="E7" s="1"/>
      <c r="F7" s="1"/>
      <c r="G7" s="1"/>
      <c r="H7" s="1"/>
    </row>
    <row r="8" spans="1:8" ht="34.049999999999997" customHeight="1">
      <c r="A8" s="8" t="s">
        <v>139</v>
      </c>
      <c r="B8" s="8" t="s">
        <v>140</v>
      </c>
      <c r="C8" s="8" t="s">
        <v>141</v>
      </c>
      <c r="D8" s="8" t="s">
        <v>142</v>
      </c>
      <c r="E8" s="8" t="s">
        <v>143</v>
      </c>
      <c r="F8" s="8" t="s">
        <v>144</v>
      </c>
      <c r="G8" s="8" t="s">
        <v>145</v>
      </c>
      <c r="H8" s="8" t="s">
        <v>72</v>
      </c>
    </row>
    <row r="9" spans="1:8" ht="244.05" customHeight="1">
      <c r="A9" s="9" t="s">
        <v>267</v>
      </c>
      <c r="B9" s="9" t="s">
        <v>268</v>
      </c>
      <c r="C9" s="9" t="s">
        <v>269</v>
      </c>
      <c r="D9" s="9" t="s">
        <v>270</v>
      </c>
      <c r="E9" s="9" t="s">
        <v>271</v>
      </c>
      <c r="F9" s="12" t="s">
        <v>133</v>
      </c>
      <c r="G9" s="13">
        <v>46320</v>
      </c>
      <c r="H9" s="21" t="s">
        <v>272</v>
      </c>
    </row>
    <row r="10" spans="1:8" ht="258.45" customHeight="1">
      <c r="A10" s="14" t="s">
        <v>273</v>
      </c>
      <c r="B10" s="14" t="s">
        <v>274</v>
      </c>
      <c r="C10" s="14" t="s">
        <v>275</v>
      </c>
      <c r="D10" s="14" t="s">
        <v>276</v>
      </c>
      <c r="E10" s="14" t="s">
        <v>156</v>
      </c>
      <c r="F10" s="12" t="s">
        <v>133</v>
      </c>
      <c r="G10" s="15">
        <v>46320</v>
      </c>
      <c r="H10" s="22" t="s">
        <v>277</v>
      </c>
    </row>
    <row r="11" spans="1:8" ht="258.45" customHeight="1">
      <c r="A11" s="9" t="s">
        <v>278</v>
      </c>
      <c r="B11" s="9" t="s">
        <v>279</v>
      </c>
      <c r="C11" s="9" t="s">
        <v>280</v>
      </c>
      <c r="D11" s="9" t="s">
        <v>281</v>
      </c>
      <c r="E11" s="9" t="s">
        <v>156</v>
      </c>
      <c r="F11" s="12" t="s">
        <v>133</v>
      </c>
      <c r="G11" s="13">
        <v>46320</v>
      </c>
      <c r="H11" s="21" t="s">
        <v>277</v>
      </c>
    </row>
    <row r="12" spans="1:8" ht="301.95" customHeight="1">
      <c r="A12" s="14" t="s">
        <v>282</v>
      </c>
      <c r="B12" s="14" t="s">
        <v>283</v>
      </c>
      <c r="C12" s="14" t="s">
        <v>284</v>
      </c>
      <c r="D12" s="14" t="s">
        <v>285</v>
      </c>
      <c r="E12" s="14" t="s">
        <v>286</v>
      </c>
      <c r="F12" s="12" t="s">
        <v>133</v>
      </c>
      <c r="G12" s="15">
        <v>46320</v>
      </c>
      <c r="H12" s="22" t="s">
        <v>287</v>
      </c>
    </row>
    <row r="13" spans="1:8" ht="316.5" customHeight="1">
      <c r="A13" s="9" t="s">
        <v>288</v>
      </c>
      <c r="B13" s="9" t="s">
        <v>289</v>
      </c>
      <c r="C13" s="9" t="s">
        <v>290</v>
      </c>
      <c r="D13" s="9" t="s">
        <v>291</v>
      </c>
      <c r="E13" s="9" t="s">
        <v>156</v>
      </c>
      <c r="F13" s="12" t="s">
        <v>133</v>
      </c>
      <c r="G13" s="13">
        <v>46320</v>
      </c>
      <c r="H13" s="21" t="s">
        <v>292</v>
      </c>
    </row>
    <row r="14" spans="1:8" ht="316.5" customHeight="1">
      <c r="A14" s="14" t="s">
        <v>293</v>
      </c>
      <c r="B14" s="14" t="s">
        <v>294</v>
      </c>
      <c r="C14" s="14" t="s">
        <v>295</v>
      </c>
      <c r="D14" s="14" t="s">
        <v>296</v>
      </c>
      <c r="E14" s="14" t="s">
        <v>156</v>
      </c>
      <c r="F14" s="12" t="s">
        <v>133</v>
      </c>
      <c r="G14" s="15">
        <v>46320</v>
      </c>
      <c r="H14" s="22" t="s">
        <v>292</v>
      </c>
    </row>
    <row r="15" spans="1:8" ht="301.95" customHeight="1">
      <c r="A15" s="9" t="s">
        <v>297</v>
      </c>
      <c r="B15" s="9" t="s">
        <v>298</v>
      </c>
      <c r="C15" s="9" t="s">
        <v>299</v>
      </c>
      <c r="D15" s="9" t="s">
        <v>300</v>
      </c>
      <c r="E15" s="9" t="s">
        <v>301</v>
      </c>
      <c r="F15" s="12" t="s">
        <v>133</v>
      </c>
      <c r="G15" s="13">
        <v>46320</v>
      </c>
      <c r="H15" s="21" t="s">
        <v>302</v>
      </c>
    </row>
    <row r="16" spans="1:8" ht="273" customHeight="1">
      <c r="A16" s="14" t="s">
        <v>303</v>
      </c>
      <c r="B16" s="14" t="s">
        <v>304</v>
      </c>
      <c r="C16" s="14" t="s">
        <v>305</v>
      </c>
      <c r="D16" s="14" t="s">
        <v>306</v>
      </c>
      <c r="E16" s="14" t="s">
        <v>156</v>
      </c>
      <c r="F16" s="12" t="s">
        <v>133</v>
      </c>
      <c r="G16" s="15">
        <v>46320</v>
      </c>
      <c r="H16" s="22" t="s">
        <v>307</v>
      </c>
    </row>
    <row r="17" spans="1:8" ht="316.5" customHeight="1">
      <c r="A17" s="9" t="s">
        <v>308</v>
      </c>
      <c r="B17" s="9" t="s">
        <v>309</v>
      </c>
      <c r="C17" s="9" t="s">
        <v>310</v>
      </c>
      <c r="D17" s="9" t="s">
        <v>311</v>
      </c>
      <c r="E17" s="9" t="s">
        <v>156</v>
      </c>
      <c r="F17" s="12" t="s">
        <v>133</v>
      </c>
      <c r="G17" s="13">
        <v>46320</v>
      </c>
      <c r="H17" s="21" t="s">
        <v>292</v>
      </c>
    </row>
    <row r="18" spans="1:8" ht="316.5" customHeight="1">
      <c r="A18" s="14" t="s">
        <v>312</v>
      </c>
      <c r="B18" s="14" t="s">
        <v>313</v>
      </c>
      <c r="C18" s="14" t="s">
        <v>314</v>
      </c>
      <c r="D18" s="14" t="s">
        <v>315</v>
      </c>
      <c r="E18" s="14" t="s">
        <v>156</v>
      </c>
      <c r="F18" s="12" t="s">
        <v>133</v>
      </c>
      <c r="G18" s="15">
        <v>46320</v>
      </c>
      <c r="H18" s="22" t="s">
        <v>292</v>
      </c>
    </row>
    <row r="19" spans="1:8" ht="331.05" customHeight="1">
      <c r="A19" s="9" t="s">
        <v>316</v>
      </c>
      <c r="B19" s="9" t="s">
        <v>317</v>
      </c>
      <c r="C19" s="9" t="s">
        <v>318</v>
      </c>
      <c r="D19" s="9" t="s">
        <v>319</v>
      </c>
      <c r="E19" s="9" t="s">
        <v>156</v>
      </c>
      <c r="F19" s="12" t="s">
        <v>133</v>
      </c>
      <c r="G19" s="13">
        <v>46320</v>
      </c>
      <c r="H19" s="21" t="s">
        <v>320</v>
      </c>
    </row>
    <row r="20" spans="1:8" ht="301.95" customHeight="1">
      <c r="A20" s="14" t="s">
        <v>321</v>
      </c>
      <c r="B20" s="14" t="s">
        <v>322</v>
      </c>
      <c r="C20" s="14" t="s">
        <v>323</v>
      </c>
      <c r="D20" s="14" t="s">
        <v>324</v>
      </c>
      <c r="E20" s="14" t="s">
        <v>325</v>
      </c>
      <c r="F20" s="12" t="s">
        <v>133</v>
      </c>
      <c r="G20" s="15">
        <v>46320</v>
      </c>
      <c r="H20" s="22" t="s">
        <v>302</v>
      </c>
    </row>
    <row r="21" spans="1:8" ht="316.5" customHeight="1">
      <c r="A21" s="9" t="s">
        <v>326</v>
      </c>
      <c r="B21" s="9" t="s">
        <v>327</v>
      </c>
      <c r="C21" s="9" t="s">
        <v>328</v>
      </c>
      <c r="D21" s="9" t="s">
        <v>329</v>
      </c>
      <c r="E21" s="9" t="s">
        <v>156</v>
      </c>
      <c r="F21" s="12" t="s">
        <v>133</v>
      </c>
      <c r="G21" s="13">
        <v>46320</v>
      </c>
      <c r="H21" s="21" t="s">
        <v>330</v>
      </c>
    </row>
    <row r="22" spans="1:8" ht="316.5" customHeight="1">
      <c r="A22" s="14" t="s">
        <v>331</v>
      </c>
      <c r="B22" s="14" t="s">
        <v>332</v>
      </c>
      <c r="C22" s="14" t="s">
        <v>333</v>
      </c>
      <c r="D22" s="14" t="s">
        <v>334</v>
      </c>
      <c r="E22" s="14" t="s">
        <v>156</v>
      </c>
      <c r="F22" s="12" t="s">
        <v>133</v>
      </c>
      <c r="G22" s="15">
        <v>46320</v>
      </c>
      <c r="H22" s="22" t="s">
        <v>335</v>
      </c>
    </row>
    <row r="23" spans="1:8" ht="316.5" customHeight="1">
      <c r="A23" s="9" t="s">
        <v>336</v>
      </c>
      <c r="B23" s="9" t="s">
        <v>337</v>
      </c>
      <c r="C23" s="9" t="s">
        <v>338</v>
      </c>
      <c r="D23" s="9" t="s">
        <v>339</v>
      </c>
      <c r="E23" s="9" t="s">
        <v>156</v>
      </c>
      <c r="F23" s="12" t="s">
        <v>133</v>
      </c>
      <c r="G23" s="13">
        <v>46320</v>
      </c>
      <c r="H23" s="21" t="s">
        <v>340</v>
      </c>
    </row>
    <row r="24" spans="1:8" ht="316.5" customHeight="1">
      <c r="A24" s="14" t="s">
        <v>341</v>
      </c>
      <c r="B24" s="14" t="s">
        <v>342</v>
      </c>
      <c r="C24" s="14" t="s">
        <v>343</v>
      </c>
      <c r="D24" s="14" t="s">
        <v>344</v>
      </c>
      <c r="E24" s="14" t="s">
        <v>156</v>
      </c>
      <c r="F24" s="12" t="s">
        <v>133</v>
      </c>
      <c r="G24" s="15">
        <v>46320</v>
      </c>
      <c r="H24" s="22" t="s">
        <v>345</v>
      </c>
    </row>
    <row r="25" spans="1:8" ht="316.5" customHeight="1">
      <c r="A25" s="9" t="s">
        <v>346</v>
      </c>
      <c r="B25" s="9" t="s">
        <v>347</v>
      </c>
      <c r="C25" s="9" t="s">
        <v>348</v>
      </c>
      <c r="D25" s="9" t="s">
        <v>349</v>
      </c>
      <c r="E25" s="9" t="s">
        <v>156</v>
      </c>
      <c r="F25" s="12" t="s">
        <v>133</v>
      </c>
      <c r="G25" s="13">
        <v>46320</v>
      </c>
      <c r="H25" s="21" t="s">
        <v>350</v>
      </c>
    </row>
    <row r="26" spans="1:8" ht="316.5" customHeight="1">
      <c r="A26" s="14" t="s">
        <v>351</v>
      </c>
      <c r="B26" s="14" t="s">
        <v>352</v>
      </c>
      <c r="C26" s="14" t="s">
        <v>353</v>
      </c>
      <c r="D26" s="14" t="s">
        <v>354</v>
      </c>
      <c r="E26" s="14" t="s">
        <v>156</v>
      </c>
      <c r="F26" s="12" t="s">
        <v>133</v>
      </c>
      <c r="G26" s="15">
        <v>46320</v>
      </c>
      <c r="H26" s="22" t="s">
        <v>355</v>
      </c>
    </row>
    <row r="27" spans="1:8" ht="316.5" customHeight="1">
      <c r="A27" s="9" t="s">
        <v>356</v>
      </c>
      <c r="B27" s="9" t="s">
        <v>357</v>
      </c>
      <c r="C27" s="9" t="s">
        <v>358</v>
      </c>
      <c r="D27" s="9" t="s">
        <v>359</v>
      </c>
      <c r="E27" s="9" t="s">
        <v>156</v>
      </c>
      <c r="F27" s="12" t="s">
        <v>133</v>
      </c>
      <c r="G27" s="13">
        <v>46320</v>
      </c>
      <c r="H27" s="21" t="s">
        <v>350</v>
      </c>
    </row>
    <row r="28" spans="1:8" ht="316.5" customHeight="1">
      <c r="A28" s="14" t="s">
        <v>360</v>
      </c>
      <c r="B28" s="14" t="s">
        <v>361</v>
      </c>
      <c r="C28" s="14" t="s">
        <v>362</v>
      </c>
      <c r="D28" s="14" t="s">
        <v>363</v>
      </c>
      <c r="E28" s="14" t="s">
        <v>156</v>
      </c>
      <c r="F28" s="12" t="s">
        <v>133</v>
      </c>
      <c r="G28" s="15">
        <v>46320</v>
      </c>
      <c r="H28" s="22" t="s">
        <v>345</v>
      </c>
    </row>
    <row r="29" spans="1:8" ht="316.5" customHeight="1">
      <c r="A29" s="9" t="s">
        <v>364</v>
      </c>
      <c r="B29" s="9" t="s">
        <v>365</v>
      </c>
      <c r="C29" s="9" t="s">
        <v>366</v>
      </c>
      <c r="D29" s="9" t="s">
        <v>367</v>
      </c>
      <c r="E29" s="9" t="s">
        <v>156</v>
      </c>
      <c r="F29" s="12" t="s">
        <v>133</v>
      </c>
      <c r="G29" s="13">
        <v>46320</v>
      </c>
      <c r="H29" s="21" t="s">
        <v>368</v>
      </c>
    </row>
    <row r="30" spans="1:8" ht="244.05" customHeight="1">
      <c r="A30" s="14" t="s">
        <v>369</v>
      </c>
      <c r="B30" s="14" t="s">
        <v>370</v>
      </c>
      <c r="C30" s="14" t="s">
        <v>371</v>
      </c>
      <c r="D30" s="14" t="s">
        <v>372</v>
      </c>
      <c r="E30" s="14" t="s">
        <v>373</v>
      </c>
      <c r="F30" s="12" t="s">
        <v>133</v>
      </c>
      <c r="G30" s="15">
        <v>46320</v>
      </c>
      <c r="H30" s="22" t="s">
        <v>374</v>
      </c>
    </row>
    <row r="31" spans="1:8" ht="258.45" customHeight="1">
      <c r="A31" s="9" t="s">
        <v>375</v>
      </c>
      <c r="B31" s="9" t="s">
        <v>376</v>
      </c>
      <c r="C31" s="9" t="s">
        <v>377</v>
      </c>
      <c r="D31" s="9" t="s">
        <v>378</v>
      </c>
      <c r="E31" s="9" t="s">
        <v>156</v>
      </c>
      <c r="F31" s="12" t="s">
        <v>133</v>
      </c>
      <c r="G31" s="13">
        <v>46320</v>
      </c>
      <c r="H31" s="21" t="s">
        <v>379</v>
      </c>
    </row>
    <row r="32" spans="1:8" ht="316.5" customHeight="1">
      <c r="A32" s="14" t="s">
        <v>380</v>
      </c>
      <c r="B32" s="14" t="s">
        <v>381</v>
      </c>
      <c r="C32" s="14" t="s">
        <v>382</v>
      </c>
      <c r="D32" s="14" t="s">
        <v>383</v>
      </c>
      <c r="E32" s="14" t="s">
        <v>156</v>
      </c>
      <c r="F32" s="12" t="s">
        <v>133</v>
      </c>
      <c r="G32" s="15">
        <v>46320</v>
      </c>
      <c r="H32" s="22" t="s">
        <v>384</v>
      </c>
    </row>
    <row r="33" spans="1:8" ht="316.5" customHeight="1">
      <c r="A33" s="9" t="s">
        <v>385</v>
      </c>
      <c r="B33" s="9" t="s">
        <v>386</v>
      </c>
      <c r="C33" s="9" t="s">
        <v>387</v>
      </c>
      <c r="D33" s="9" t="s">
        <v>388</v>
      </c>
      <c r="E33" s="9" t="s">
        <v>156</v>
      </c>
      <c r="F33" s="12" t="s">
        <v>133</v>
      </c>
      <c r="G33" s="13">
        <v>46320</v>
      </c>
      <c r="H33" s="21" t="s">
        <v>389</v>
      </c>
    </row>
  </sheetData>
  <autoFilter ref="A8:H33" xr:uid="{00000000-0009-0000-0000-000004000000}"/>
  <mergeCells count="5">
    <mergeCell ref="F6:H6"/>
    <mergeCell ref="F5:H5"/>
    <mergeCell ref="B4:H4"/>
    <mergeCell ref="B2:H2"/>
    <mergeCell ref="B3:H3"/>
  </mergeCells>
  <conditionalFormatting sqref="F9:F33">
    <cfRule type="containsText" dxfId="7" priority="1" operator="containsText" text="Passed"/>
    <cfRule type="containsText" dxfId="6" priority="2" operator="containsText" text="Failed"/>
    <cfRule type="containsText" dxfId="5" priority="3" operator="containsText" text="Blocked"/>
    <cfRule type="containsText" dxfId="4" priority="4" operator="containsText" text="Skipped"/>
  </conditionalFormatting>
  <dataValidations count="1">
    <dataValidation type="list" showInputMessage="1" showErrorMessage="1" errorTitle="Result không hợp lệ" error="Chọn Passed, Failed, Untested, Blocked hoặc Skipped. Chỉ ghi Passed sau khi kiểm chứng expected." promptTitle="Kết quả thực thi" prompt="Case chưa chạy giữ Untested; ghi actual và ảnh trong Note khi đã chạy." sqref="F9:F33" xr:uid="{00000000-0002-0000-0400-000000000000}">
      <formula1>"Passed,Failed,Untested,Blocked,Skipped"</formula1>
    </dataValidation>
  </dataValidations>
  <hyperlinks>
    <hyperlink ref="H9" r:id="rId1" xr:uid="{00000000-0004-0000-0400-000000000000}"/>
    <hyperlink ref="H10" r:id="rId2" xr:uid="{00000000-0004-0000-0400-000001000000}"/>
    <hyperlink ref="H11" r:id="rId3" xr:uid="{00000000-0004-0000-0400-000002000000}"/>
    <hyperlink ref="H12" r:id="rId4" xr:uid="{00000000-0004-0000-0400-000003000000}"/>
    <hyperlink ref="H13" r:id="rId5" xr:uid="{00000000-0004-0000-0400-000004000000}"/>
    <hyperlink ref="H14" r:id="rId6" xr:uid="{00000000-0004-0000-0400-000005000000}"/>
    <hyperlink ref="H15" r:id="rId7" xr:uid="{00000000-0004-0000-0400-000006000000}"/>
    <hyperlink ref="H16" r:id="rId8" xr:uid="{00000000-0004-0000-0400-000007000000}"/>
    <hyperlink ref="H17" r:id="rId9" xr:uid="{00000000-0004-0000-0400-000008000000}"/>
    <hyperlink ref="H18" r:id="rId10" xr:uid="{00000000-0004-0000-0400-000009000000}"/>
    <hyperlink ref="H19" r:id="rId11" xr:uid="{00000000-0004-0000-0400-00000A000000}"/>
    <hyperlink ref="H20" r:id="rId12" xr:uid="{00000000-0004-0000-0400-00000B000000}"/>
    <hyperlink ref="H21" r:id="rId13" xr:uid="{00000000-0004-0000-0400-00000C000000}"/>
    <hyperlink ref="H22" r:id="rId14" xr:uid="{00000000-0004-0000-0400-00000D000000}"/>
    <hyperlink ref="H23" r:id="rId15" xr:uid="{00000000-0004-0000-0400-00000E000000}"/>
    <hyperlink ref="H24" r:id="rId16" xr:uid="{00000000-0004-0000-0400-00000F000000}"/>
    <hyperlink ref="H25" r:id="rId17" xr:uid="{00000000-0004-0000-0400-000010000000}"/>
    <hyperlink ref="H26" r:id="rId18" xr:uid="{00000000-0004-0000-0400-000011000000}"/>
    <hyperlink ref="H27" r:id="rId19" xr:uid="{00000000-0004-0000-0400-000012000000}"/>
    <hyperlink ref="H28" r:id="rId20" xr:uid="{00000000-0004-0000-0400-000013000000}"/>
    <hyperlink ref="H29" r:id="rId21" xr:uid="{00000000-0004-0000-0400-000014000000}"/>
    <hyperlink ref="H30" r:id="rId22" xr:uid="{00000000-0004-0000-0400-000015000000}"/>
    <hyperlink ref="H31" r:id="rId23" xr:uid="{00000000-0004-0000-0400-000016000000}"/>
    <hyperlink ref="H32" r:id="rId24" xr:uid="{00000000-0004-0000-0400-000017000000}"/>
    <hyperlink ref="H33" r:id="rId25" xr:uid="{00000000-0004-0000-0400-000018000000}"/>
  </hyperlinks>
  <pageMargins left="0.7" right="0.7" top="0.75" bottom="0.75" header="0.3" footer="0.3"/>
  <pageSetup paperSize="8"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8"/>
    <pageSetUpPr fitToPage="1"/>
  </sheetPr>
  <dimension ref="A1:H33"/>
  <sheetViews>
    <sheetView zoomScale="75" workbookViewId="0">
      <pane xSplit="1" ySplit="8" topLeftCell="B9" activePane="bottomRight" state="frozen"/>
      <selection pane="topRight"/>
      <selection pane="bottomLeft"/>
      <selection pane="bottomRight" activeCell="B9" sqref="B9"/>
    </sheetView>
  </sheetViews>
  <sheetFormatPr defaultRowHeight="13.8"/>
  <cols>
    <col min="1" max="1" width="25" customWidth="1"/>
    <col min="2" max="2" width="36" customWidth="1"/>
    <col min="3" max="3" width="72" customWidth="1"/>
    <col min="4" max="4" width="65" customWidth="1"/>
    <col min="5" max="5" width="31" customWidth="1"/>
    <col min="6" max="6" width="14" customWidth="1"/>
    <col min="7" max="7" width="15" customWidth="1"/>
    <col min="8" max="8" width="58" customWidth="1"/>
  </cols>
  <sheetData>
    <row r="1" spans="1:8">
      <c r="A1" s="1"/>
      <c r="B1" s="1"/>
      <c r="C1" s="1"/>
      <c r="D1" s="1"/>
      <c r="E1" s="1"/>
      <c r="F1" s="1"/>
      <c r="G1" s="1"/>
      <c r="H1" s="1"/>
    </row>
    <row r="2" spans="1:8">
      <c r="A2" s="2" t="s">
        <v>129</v>
      </c>
      <c r="B2" s="37" t="s">
        <v>62</v>
      </c>
      <c r="C2" s="24"/>
      <c r="D2" s="24"/>
      <c r="E2" s="24"/>
      <c r="F2" s="24"/>
      <c r="G2" s="24"/>
      <c r="H2" s="24"/>
    </row>
    <row r="3" spans="1:8">
      <c r="A3" s="2" t="s">
        <v>130</v>
      </c>
      <c r="B3" s="37" t="s">
        <v>61</v>
      </c>
      <c r="C3" s="24"/>
      <c r="D3" s="24"/>
      <c r="E3" s="24"/>
      <c r="F3" s="24"/>
      <c r="G3" s="24"/>
      <c r="H3" s="24"/>
    </row>
    <row r="4" spans="1:8">
      <c r="A4" s="2" t="s">
        <v>131</v>
      </c>
      <c r="B4" s="37" t="s">
        <v>132</v>
      </c>
      <c r="C4" s="24"/>
      <c r="D4" s="24"/>
      <c r="E4" s="24"/>
      <c r="F4" s="24"/>
      <c r="G4" s="24"/>
      <c r="H4" s="24"/>
    </row>
    <row r="5" spans="1:8" ht="24" customHeight="1">
      <c r="A5" s="10" t="s">
        <v>133</v>
      </c>
      <c r="B5" s="10" t="s">
        <v>134</v>
      </c>
      <c r="C5" s="10" t="s">
        <v>135</v>
      </c>
      <c r="D5" s="10" t="s">
        <v>136</v>
      </c>
      <c r="E5" s="10" t="s">
        <v>137</v>
      </c>
      <c r="F5" s="36" t="s">
        <v>138</v>
      </c>
      <c r="G5" s="31"/>
      <c r="H5" s="32"/>
    </row>
    <row r="6" spans="1:8" ht="24" customHeight="1">
      <c r="A6" s="11">
        <f>COUNTIF($F$9:$F$33,"Passed")</f>
        <v>24</v>
      </c>
      <c r="B6" s="11">
        <f>COUNTIF($F$9:$F$33,"Failed")</f>
        <v>1</v>
      </c>
      <c r="C6" s="11">
        <f>COUNTIF($F$9:$F$33,"Untested")</f>
        <v>0</v>
      </c>
      <c r="D6" s="11">
        <f>COUNTIF($F$9:$F$33,"Blocked")</f>
        <v>0</v>
      </c>
      <c r="E6" s="11">
        <f>COUNTIF($F$9:$F$33,"Skipped")</f>
        <v>0</v>
      </c>
      <c r="F6" s="35">
        <f>COUNTA(A9:A33)</f>
        <v>25</v>
      </c>
      <c r="G6" s="31"/>
      <c r="H6" s="32"/>
    </row>
    <row r="7" spans="1:8">
      <c r="A7" s="1"/>
      <c r="B7" s="1"/>
      <c r="C7" s="1"/>
      <c r="D7" s="1"/>
      <c r="E7" s="1"/>
      <c r="F7" s="1"/>
      <c r="G7" s="1"/>
      <c r="H7" s="1"/>
    </row>
    <row r="8" spans="1:8" ht="34.049999999999997" customHeight="1">
      <c r="A8" s="8" t="s">
        <v>139</v>
      </c>
      <c r="B8" s="8" t="s">
        <v>140</v>
      </c>
      <c r="C8" s="8" t="s">
        <v>141</v>
      </c>
      <c r="D8" s="8" t="s">
        <v>142</v>
      </c>
      <c r="E8" s="8" t="s">
        <v>143</v>
      </c>
      <c r="F8" s="8" t="s">
        <v>144</v>
      </c>
      <c r="G8" s="8" t="s">
        <v>145</v>
      </c>
      <c r="H8" s="8" t="s">
        <v>72</v>
      </c>
    </row>
    <row r="9" spans="1:8" ht="244.05" customHeight="1">
      <c r="A9" s="9" t="s">
        <v>390</v>
      </c>
      <c r="B9" s="9" t="s">
        <v>391</v>
      </c>
      <c r="C9" s="9" t="s">
        <v>392</v>
      </c>
      <c r="D9" s="9" t="s">
        <v>393</v>
      </c>
      <c r="E9" s="9" t="s">
        <v>394</v>
      </c>
      <c r="F9" s="12" t="s">
        <v>133</v>
      </c>
      <c r="G9" s="13">
        <v>46321</v>
      </c>
      <c r="H9" s="21" t="s">
        <v>395</v>
      </c>
    </row>
    <row r="10" spans="1:8" ht="258.45" customHeight="1">
      <c r="A10" s="14" t="s">
        <v>396</v>
      </c>
      <c r="B10" s="14" t="s">
        <v>397</v>
      </c>
      <c r="C10" s="14" t="s">
        <v>398</v>
      </c>
      <c r="D10" s="14" t="s">
        <v>399</v>
      </c>
      <c r="E10" s="14" t="s">
        <v>156</v>
      </c>
      <c r="F10" s="12" t="s">
        <v>133</v>
      </c>
      <c r="G10" s="15">
        <v>46321</v>
      </c>
      <c r="H10" s="22" t="s">
        <v>400</v>
      </c>
    </row>
    <row r="11" spans="1:8" ht="244.05" customHeight="1">
      <c r="A11" s="9" t="s">
        <v>401</v>
      </c>
      <c r="B11" s="9" t="s">
        <v>402</v>
      </c>
      <c r="C11" s="9" t="s">
        <v>403</v>
      </c>
      <c r="D11" s="9" t="s">
        <v>404</v>
      </c>
      <c r="E11" s="9" t="s">
        <v>405</v>
      </c>
      <c r="F11" s="12" t="s">
        <v>133</v>
      </c>
      <c r="G11" s="13">
        <v>46321</v>
      </c>
      <c r="H11" s="21" t="s">
        <v>395</v>
      </c>
    </row>
    <row r="12" spans="1:8" ht="258.45" customHeight="1">
      <c r="A12" s="14" t="s">
        <v>406</v>
      </c>
      <c r="B12" s="14" t="s">
        <v>407</v>
      </c>
      <c r="C12" s="14" t="s">
        <v>408</v>
      </c>
      <c r="D12" s="14" t="s">
        <v>409</v>
      </c>
      <c r="E12" s="14" t="s">
        <v>156</v>
      </c>
      <c r="F12" s="12" t="s">
        <v>133</v>
      </c>
      <c r="G12" s="15">
        <v>46321</v>
      </c>
      <c r="H12" s="22" t="s">
        <v>410</v>
      </c>
    </row>
    <row r="13" spans="1:8" ht="258.45" customHeight="1">
      <c r="A13" s="9" t="s">
        <v>411</v>
      </c>
      <c r="B13" s="9" t="s">
        <v>412</v>
      </c>
      <c r="C13" s="9" t="s">
        <v>413</v>
      </c>
      <c r="D13" s="9" t="s">
        <v>414</v>
      </c>
      <c r="E13" s="9" t="s">
        <v>156</v>
      </c>
      <c r="F13" s="12" t="s">
        <v>133</v>
      </c>
      <c r="G13" s="13">
        <v>46321</v>
      </c>
      <c r="H13" s="21" t="s">
        <v>410</v>
      </c>
    </row>
    <row r="14" spans="1:8" ht="258.45" customHeight="1">
      <c r="A14" s="14" t="s">
        <v>415</v>
      </c>
      <c r="B14" s="14" t="s">
        <v>416</v>
      </c>
      <c r="C14" s="14" t="s">
        <v>417</v>
      </c>
      <c r="D14" s="14" t="s">
        <v>418</v>
      </c>
      <c r="E14" s="14" t="s">
        <v>156</v>
      </c>
      <c r="F14" s="12" t="s">
        <v>133</v>
      </c>
      <c r="G14" s="15">
        <v>46321</v>
      </c>
      <c r="H14" s="22" t="s">
        <v>419</v>
      </c>
    </row>
    <row r="15" spans="1:8" ht="258.45" customHeight="1">
      <c r="A15" s="9" t="s">
        <v>420</v>
      </c>
      <c r="B15" s="9" t="s">
        <v>421</v>
      </c>
      <c r="C15" s="9" t="s">
        <v>422</v>
      </c>
      <c r="D15" s="9" t="s">
        <v>423</v>
      </c>
      <c r="E15" s="9" t="s">
        <v>156</v>
      </c>
      <c r="F15" s="12" t="s">
        <v>133</v>
      </c>
      <c r="G15" s="13">
        <v>46321</v>
      </c>
      <c r="H15" s="21" t="s">
        <v>424</v>
      </c>
    </row>
    <row r="16" spans="1:8" ht="345.45" customHeight="1">
      <c r="A16" s="14" t="s">
        <v>425</v>
      </c>
      <c r="B16" s="14" t="s">
        <v>426</v>
      </c>
      <c r="C16" s="14" t="s">
        <v>427</v>
      </c>
      <c r="D16" s="14" t="s">
        <v>428</v>
      </c>
      <c r="E16" s="14" t="s">
        <v>156</v>
      </c>
      <c r="F16" s="12" t="s">
        <v>134</v>
      </c>
      <c r="G16" s="15">
        <v>46321</v>
      </c>
      <c r="H16" s="22" t="s">
        <v>429</v>
      </c>
    </row>
    <row r="17" spans="1:8" ht="258.45" customHeight="1">
      <c r="A17" s="9" t="s">
        <v>430</v>
      </c>
      <c r="B17" s="9" t="s">
        <v>431</v>
      </c>
      <c r="C17" s="9" t="s">
        <v>432</v>
      </c>
      <c r="D17" s="9" t="s">
        <v>433</v>
      </c>
      <c r="E17" s="9" t="s">
        <v>156</v>
      </c>
      <c r="F17" s="12" t="s">
        <v>133</v>
      </c>
      <c r="G17" s="13">
        <v>46321</v>
      </c>
      <c r="H17" s="21" t="s">
        <v>434</v>
      </c>
    </row>
    <row r="18" spans="1:8" ht="244.05" customHeight="1">
      <c r="A18" s="14" t="s">
        <v>435</v>
      </c>
      <c r="B18" s="14" t="s">
        <v>436</v>
      </c>
      <c r="C18" s="14" t="s">
        <v>437</v>
      </c>
      <c r="D18" s="14" t="s">
        <v>438</v>
      </c>
      <c r="E18" s="14" t="s">
        <v>439</v>
      </c>
      <c r="F18" s="12" t="s">
        <v>133</v>
      </c>
      <c r="G18" s="15">
        <v>46321</v>
      </c>
      <c r="H18" s="22" t="s">
        <v>440</v>
      </c>
    </row>
    <row r="19" spans="1:8" ht="244.05" customHeight="1">
      <c r="A19" s="9" t="s">
        <v>441</v>
      </c>
      <c r="B19" s="9" t="s">
        <v>442</v>
      </c>
      <c r="C19" s="9" t="s">
        <v>443</v>
      </c>
      <c r="D19" s="9" t="s">
        <v>444</v>
      </c>
      <c r="E19" s="9" t="s">
        <v>445</v>
      </c>
      <c r="F19" s="12" t="s">
        <v>133</v>
      </c>
      <c r="G19" s="13">
        <v>46321</v>
      </c>
      <c r="H19" s="21" t="s">
        <v>446</v>
      </c>
    </row>
    <row r="20" spans="1:8" ht="244.05" customHeight="1">
      <c r="A20" s="14" t="s">
        <v>447</v>
      </c>
      <c r="B20" s="14" t="s">
        <v>448</v>
      </c>
      <c r="C20" s="14" t="s">
        <v>449</v>
      </c>
      <c r="D20" s="14" t="s">
        <v>450</v>
      </c>
      <c r="E20" s="14" t="s">
        <v>451</v>
      </c>
      <c r="F20" s="12" t="s">
        <v>133</v>
      </c>
      <c r="G20" s="15">
        <v>46321</v>
      </c>
      <c r="H20" s="22" t="s">
        <v>452</v>
      </c>
    </row>
    <row r="21" spans="1:8" ht="258.45" customHeight="1">
      <c r="A21" s="9" t="s">
        <v>453</v>
      </c>
      <c r="B21" s="9" t="s">
        <v>454</v>
      </c>
      <c r="C21" s="9" t="s">
        <v>455</v>
      </c>
      <c r="D21" s="9" t="s">
        <v>456</v>
      </c>
      <c r="E21" s="9" t="s">
        <v>156</v>
      </c>
      <c r="F21" s="12" t="s">
        <v>133</v>
      </c>
      <c r="G21" s="13">
        <v>46321</v>
      </c>
      <c r="H21" s="21" t="s">
        <v>457</v>
      </c>
    </row>
    <row r="22" spans="1:8" ht="258.45" customHeight="1">
      <c r="A22" s="14" t="s">
        <v>458</v>
      </c>
      <c r="B22" s="14" t="s">
        <v>459</v>
      </c>
      <c r="C22" s="14" t="s">
        <v>460</v>
      </c>
      <c r="D22" s="14" t="s">
        <v>461</v>
      </c>
      <c r="E22" s="14" t="s">
        <v>156</v>
      </c>
      <c r="F22" s="12" t="s">
        <v>133</v>
      </c>
      <c r="G22" s="15">
        <v>46321</v>
      </c>
      <c r="H22" s="22" t="s">
        <v>462</v>
      </c>
    </row>
    <row r="23" spans="1:8" ht="258.45" customHeight="1">
      <c r="A23" s="9" t="s">
        <v>463</v>
      </c>
      <c r="B23" s="9" t="s">
        <v>464</v>
      </c>
      <c r="C23" s="9" t="s">
        <v>465</v>
      </c>
      <c r="D23" s="9" t="s">
        <v>466</v>
      </c>
      <c r="E23" s="9" t="s">
        <v>156</v>
      </c>
      <c r="F23" s="12" t="s">
        <v>133</v>
      </c>
      <c r="G23" s="13">
        <v>46321</v>
      </c>
      <c r="H23" s="21" t="s">
        <v>467</v>
      </c>
    </row>
    <row r="24" spans="1:8" ht="258.45" customHeight="1">
      <c r="A24" s="14" t="s">
        <v>468</v>
      </c>
      <c r="B24" s="14" t="s">
        <v>469</v>
      </c>
      <c r="C24" s="14" t="s">
        <v>470</v>
      </c>
      <c r="D24" s="14" t="s">
        <v>471</v>
      </c>
      <c r="E24" s="14" t="s">
        <v>156</v>
      </c>
      <c r="F24" s="12" t="s">
        <v>133</v>
      </c>
      <c r="G24" s="15">
        <v>46321</v>
      </c>
      <c r="H24" s="22" t="s">
        <v>467</v>
      </c>
    </row>
    <row r="25" spans="1:8" ht="258.45" customHeight="1">
      <c r="A25" s="9" t="s">
        <v>472</v>
      </c>
      <c r="B25" s="9" t="s">
        <v>473</v>
      </c>
      <c r="C25" s="9" t="s">
        <v>474</v>
      </c>
      <c r="D25" s="9" t="s">
        <v>475</v>
      </c>
      <c r="E25" s="9" t="s">
        <v>156</v>
      </c>
      <c r="F25" s="12" t="s">
        <v>133</v>
      </c>
      <c r="G25" s="13">
        <v>46321</v>
      </c>
      <c r="H25" s="21" t="s">
        <v>476</v>
      </c>
    </row>
    <row r="26" spans="1:8" ht="258.45" customHeight="1">
      <c r="A26" s="14" t="s">
        <v>477</v>
      </c>
      <c r="B26" s="14" t="s">
        <v>478</v>
      </c>
      <c r="C26" s="14" t="s">
        <v>479</v>
      </c>
      <c r="D26" s="14" t="s">
        <v>480</v>
      </c>
      <c r="E26" s="14" t="s">
        <v>156</v>
      </c>
      <c r="F26" s="12" t="s">
        <v>133</v>
      </c>
      <c r="G26" s="15">
        <v>46321</v>
      </c>
      <c r="H26" s="22" t="s">
        <v>462</v>
      </c>
    </row>
    <row r="27" spans="1:8" ht="258.45" customHeight="1">
      <c r="A27" s="9" t="s">
        <v>481</v>
      </c>
      <c r="B27" s="9" t="s">
        <v>482</v>
      </c>
      <c r="C27" s="9" t="s">
        <v>483</v>
      </c>
      <c r="D27" s="9" t="s">
        <v>484</v>
      </c>
      <c r="E27" s="9" t="s">
        <v>156</v>
      </c>
      <c r="F27" s="12" t="s">
        <v>133</v>
      </c>
      <c r="G27" s="13">
        <v>46321</v>
      </c>
      <c r="H27" s="21" t="s">
        <v>462</v>
      </c>
    </row>
    <row r="28" spans="1:8" ht="258.45" customHeight="1">
      <c r="A28" s="14" t="s">
        <v>485</v>
      </c>
      <c r="B28" s="14" t="s">
        <v>486</v>
      </c>
      <c r="C28" s="14" t="s">
        <v>487</v>
      </c>
      <c r="D28" s="14" t="s">
        <v>488</v>
      </c>
      <c r="E28" s="14" t="s">
        <v>156</v>
      </c>
      <c r="F28" s="12" t="s">
        <v>133</v>
      </c>
      <c r="G28" s="15">
        <v>46321</v>
      </c>
      <c r="H28" s="22" t="s">
        <v>462</v>
      </c>
    </row>
    <row r="29" spans="1:8" ht="258.45" customHeight="1">
      <c r="A29" s="9" t="s">
        <v>489</v>
      </c>
      <c r="B29" s="9" t="s">
        <v>490</v>
      </c>
      <c r="C29" s="9" t="s">
        <v>491</v>
      </c>
      <c r="D29" s="9" t="s">
        <v>492</v>
      </c>
      <c r="E29" s="9" t="s">
        <v>156</v>
      </c>
      <c r="F29" s="12" t="s">
        <v>133</v>
      </c>
      <c r="G29" s="13">
        <v>46321</v>
      </c>
      <c r="H29" s="21" t="s">
        <v>493</v>
      </c>
    </row>
    <row r="30" spans="1:8" ht="258.45" customHeight="1">
      <c r="A30" s="14" t="s">
        <v>494</v>
      </c>
      <c r="B30" s="14" t="s">
        <v>495</v>
      </c>
      <c r="C30" s="14" t="s">
        <v>496</v>
      </c>
      <c r="D30" s="14" t="s">
        <v>497</v>
      </c>
      <c r="E30" s="14" t="s">
        <v>156</v>
      </c>
      <c r="F30" s="12" t="s">
        <v>133</v>
      </c>
      <c r="G30" s="15">
        <v>46321</v>
      </c>
      <c r="H30" s="22" t="s">
        <v>493</v>
      </c>
    </row>
    <row r="31" spans="1:8" ht="258.45" customHeight="1">
      <c r="A31" s="9" t="s">
        <v>498</v>
      </c>
      <c r="B31" s="9" t="s">
        <v>499</v>
      </c>
      <c r="C31" s="9" t="s">
        <v>500</v>
      </c>
      <c r="D31" s="9" t="s">
        <v>501</v>
      </c>
      <c r="E31" s="9" t="s">
        <v>156</v>
      </c>
      <c r="F31" s="12" t="s">
        <v>133</v>
      </c>
      <c r="G31" s="13">
        <v>46321</v>
      </c>
      <c r="H31" s="21" t="s">
        <v>502</v>
      </c>
    </row>
    <row r="32" spans="1:8" ht="258.45" customHeight="1">
      <c r="A32" s="14" t="s">
        <v>503</v>
      </c>
      <c r="B32" s="14" t="s">
        <v>504</v>
      </c>
      <c r="C32" s="14" t="s">
        <v>505</v>
      </c>
      <c r="D32" s="14" t="s">
        <v>506</v>
      </c>
      <c r="E32" s="14" t="s">
        <v>156</v>
      </c>
      <c r="F32" s="12" t="s">
        <v>133</v>
      </c>
      <c r="G32" s="15">
        <v>46321</v>
      </c>
      <c r="H32" s="22" t="s">
        <v>507</v>
      </c>
    </row>
    <row r="33" spans="1:8" ht="258.45" customHeight="1">
      <c r="A33" s="9" t="s">
        <v>508</v>
      </c>
      <c r="B33" s="9" t="s">
        <v>509</v>
      </c>
      <c r="C33" s="9" t="s">
        <v>510</v>
      </c>
      <c r="D33" s="9" t="s">
        <v>511</v>
      </c>
      <c r="E33" s="9" t="s">
        <v>156</v>
      </c>
      <c r="F33" s="12" t="s">
        <v>133</v>
      </c>
      <c r="G33" s="13">
        <v>46321</v>
      </c>
      <c r="H33" s="21" t="s">
        <v>476</v>
      </c>
    </row>
  </sheetData>
  <autoFilter ref="A8:H33" xr:uid="{00000000-0009-0000-0000-000005000000}"/>
  <mergeCells count="5">
    <mergeCell ref="F6:H6"/>
    <mergeCell ref="F5:H5"/>
    <mergeCell ref="B4:H4"/>
    <mergeCell ref="B2:H2"/>
    <mergeCell ref="B3:H3"/>
  </mergeCells>
  <conditionalFormatting sqref="F9:F33">
    <cfRule type="containsText" dxfId="3" priority="1" operator="containsText" text="Passed"/>
    <cfRule type="containsText" dxfId="2" priority="2" operator="containsText" text="Failed"/>
    <cfRule type="containsText" dxfId="1" priority="3" operator="containsText" text="Blocked"/>
    <cfRule type="containsText" dxfId="0" priority="4" operator="containsText" text="Skipped"/>
  </conditionalFormatting>
  <dataValidations count="1">
    <dataValidation type="list" showInputMessage="1" showErrorMessage="1" errorTitle="Result không hợp lệ" error="Chọn Passed, Failed, Untested, Blocked hoặc Skipped. Chỉ ghi Passed sau khi kiểm chứng expected." promptTitle="Kết quả thực thi" prompt="Case chưa chạy giữ Untested; ghi actual và ảnh trong Note khi đã chạy." sqref="F9:F33" xr:uid="{00000000-0002-0000-0500-000000000000}">
      <formula1>"Passed,Failed,Untested,Blocked,Skipped"</formula1>
    </dataValidation>
  </dataValidations>
  <hyperlinks>
    <hyperlink ref="H9" r:id="rId1" xr:uid="{00000000-0004-0000-0500-000000000000}"/>
    <hyperlink ref="H10" r:id="rId2" xr:uid="{00000000-0004-0000-0500-000001000000}"/>
    <hyperlink ref="H11" r:id="rId3" xr:uid="{00000000-0004-0000-0500-000002000000}"/>
    <hyperlink ref="H12" r:id="rId4" xr:uid="{00000000-0004-0000-0500-000003000000}"/>
    <hyperlink ref="H13" r:id="rId5" xr:uid="{00000000-0004-0000-0500-000004000000}"/>
    <hyperlink ref="H14" r:id="rId6" xr:uid="{00000000-0004-0000-0500-000005000000}"/>
    <hyperlink ref="H15" r:id="rId7" xr:uid="{00000000-0004-0000-0500-000006000000}"/>
    <hyperlink ref="H16" r:id="rId8" xr:uid="{00000000-0004-0000-0500-000007000000}"/>
    <hyperlink ref="H17" r:id="rId9" xr:uid="{00000000-0004-0000-0500-000008000000}"/>
    <hyperlink ref="H18" r:id="rId10" xr:uid="{00000000-0004-0000-0500-000009000000}"/>
    <hyperlink ref="H19" r:id="rId11" xr:uid="{00000000-0004-0000-0500-00000A000000}"/>
    <hyperlink ref="H20" r:id="rId12" xr:uid="{00000000-0004-0000-0500-00000B000000}"/>
    <hyperlink ref="H21" r:id="rId13" xr:uid="{00000000-0004-0000-0500-00000C000000}"/>
    <hyperlink ref="H22" r:id="rId14" xr:uid="{00000000-0004-0000-0500-00000D000000}"/>
    <hyperlink ref="H23" r:id="rId15" xr:uid="{00000000-0004-0000-0500-00000E000000}"/>
    <hyperlink ref="H24" r:id="rId16" xr:uid="{00000000-0004-0000-0500-00000F000000}"/>
    <hyperlink ref="H25" r:id="rId17" xr:uid="{00000000-0004-0000-0500-000010000000}"/>
    <hyperlink ref="H26" r:id="rId18" xr:uid="{00000000-0004-0000-0500-000011000000}"/>
    <hyperlink ref="H27" r:id="rId19" xr:uid="{00000000-0004-0000-0500-000012000000}"/>
    <hyperlink ref="H28" r:id="rId20" xr:uid="{00000000-0004-0000-0500-000013000000}"/>
    <hyperlink ref="H29" r:id="rId21" xr:uid="{00000000-0004-0000-0500-000014000000}"/>
    <hyperlink ref="H30" r:id="rId22" xr:uid="{00000000-0004-0000-0500-000015000000}"/>
    <hyperlink ref="H31" r:id="rId23" xr:uid="{00000000-0004-0000-0500-000016000000}"/>
    <hyperlink ref="H32" r:id="rId24" xr:uid="{00000000-0004-0000-0500-000017000000}"/>
    <hyperlink ref="H33" r:id="rId25" xr:uid="{00000000-0004-0000-0500-000018000000}"/>
  </hyperlinks>
  <pageMargins left="0.7" right="0.7" top="0.75" bottom="0.75" header="0.3" footer="0.3"/>
  <pageSetup paperSize="8"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45"/>
  <sheetViews>
    <sheetView showGridLines="0" workbookViewId="0">
      <pane ySplit="4" topLeftCell="A5" activePane="bottomLeft" state="frozen"/>
      <selection pane="bottomLeft"/>
    </sheetView>
  </sheetViews>
  <sheetFormatPr defaultRowHeight="13.8"/>
  <cols>
    <col min="1" max="1" width="26" customWidth="1"/>
    <col min="2" max="2" width="52" customWidth="1"/>
    <col min="3" max="3" width="62" customWidth="1"/>
    <col min="4" max="4" width="61" customWidth="1"/>
    <col min="5" max="5" width="48" customWidth="1"/>
    <col min="6" max="6" width="36" customWidth="1"/>
  </cols>
  <sheetData>
    <row r="1" spans="1:6">
      <c r="A1" s="1"/>
      <c r="B1" s="1"/>
      <c r="C1" s="1"/>
      <c r="D1" s="1"/>
      <c r="E1" s="1"/>
      <c r="F1" s="1"/>
    </row>
    <row r="2" spans="1:6" ht="42" customHeight="1">
      <c r="A2" s="23" t="s">
        <v>512</v>
      </c>
      <c r="B2" s="24"/>
      <c r="C2" s="24"/>
      <c r="D2" s="24"/>
      <c r="E2" s="24"/>
      <c r="F2" s="24"/>
    </row>
    <row r="3" spans="1:6">
      <c r="A3" s="1"/>
      <c r="B3" s="1"/>
      <c r="C3" s="1"/>
      <c r="D3" s="1"/>
      <c r="E3" s="1"/>
      <c r="F3" s="1"/>
    </row>
    <row r="4" spans="1:6" ht="31.95" customHeight="1">
      <c r="A4" s="8" t="s">
        <v>513</v>
      </c>
      <c r="B4" s="8" t="s">
        <v>514</v>
      </c>
      <c r="C4" s="8" t="s">
        <v>515</v>
      </c>
      <c r="D4" s="8" t="s">
        <v>516</v>
      </c>
      <c r="E4" s="8" t="s">
        <v>517</v>
      </c>
      <c r="F4" s="8" t="s">
        <v>518</v>
      </c>
    </row>
    <row r="5" spans="1:6" ht="97.95" customHeight="1">
      <c r="A5" s="9" t="s">
        <v>519</v>
      </c>
      <c r="B5" s="9" t="s">
        <v>520</v>
      </c>
      <c r="C5" s="9" t="s">
        <v>521</v>
      </c>
      <c r="D5" s="9" t="s">
        <v>522</v>
      </c>
      <c r="E5" s="9" t="s">
        <v>523</v>
      </c>
      <c r="F5" s="9" t="s">
        <v>524</v>
      </c>
    </row>
    <row r="6" spans="1:6" ht="97.95" customHeight="1">
      <c r="A6" s="9" t="s">
        <v>525</v>
      </c>
      <c r="B6" s="9" t="s">
        <v>526</v>
      </c>
      <c r="C6" s="9" t="s">
        <v>527</v>
      </c>
      <c r="D6" s="9" t="s">
        <v>528</v>
      </c>
      <c r="E6" s="9" t="s">
        <v>529</v>
      </c>
      <c r="F6" s="9" t="s">
        <v>530</v>
      </c>
    </row>
    <row r="7" spans="1:6" ht="97.95" customHeight="1">
      <c r="A7" s="9" t="s">
        <v>531</v>
      </c>
      <c r="B7" s="9" t="s">
        <v>532</v>
      </c>
      <c r="C7" s="9" t="s">
        <v>533</v>
      </c>
      <c r="D7" s="9" t="s">
        <v>534</v>
      </c>
      <c r="E7" s="9" t="s">
        <v>535</v>
      </c>
      <c r="F7" s="9" t="s">
        <v>536</v>
      </c>
    </row>
    <row r="8" spans="1:6" ht="97.95" customHeight="1">
      <c r="A8" s="9" t="s">
        <v>537</v>
      </c>
      <c r="B8" s="9" t="s">
        <v>538</v>
      </c>
      <c r="C8" s="9" t="s">
        <v>539</v>
      </c>
      <c r="D8" s="9" t="s">
        <v>540</v>
      </c>
      <c r="E8" s="9" t="s">
        <v>541</v>
      </c>
      <c r="F8" s="9" t="s">
        <v>542</v>
      </c>
    </row>
    <row r="9" spans="1:6" ht="97.95" customHeight="1">
      <c r="A9" s="9" t="s">
        <v>543</v>
      </c>
      <c r="B9" s="9" t="s">
        <v>544</v>
      </c>
      <c r="C9" s="9" t="s">
        <v>545</v>
      </c>
      <c r="D9" s="9" t="s">
        <v>152</v>
      </c>
      <c r="E9" s="9" t="s">
        <v>541</v>
      </c>
      <c r="F9" s="9" t="s">
        <v>546</v>
      </c>
    </row>
    <row r="10" spans="1:6" ht="97.95" customHeight="1">
      <c r="A10" s="9" t="s">
        <v>547</v>
      </c>
      <c r="B10" s="9" t="s">
        <v>548</v>
      </c>
      <c r="C10" s="9" t="s">
        <v>549</v>
      </c>
      <c r="D10" s="9" t="s">
        <v>550</v>
      </c>
      <c r="E10" s="9" t="s">
        <v>551</v>
      </c>
      <c r="F10" s="9" t="s">
        <v>552</v>
      </c>
    </row>
    <row r="11" spans="1:6" ht="97.95" customHeight="1">
      <c r="A11" s="9" t="s">
        <v>553</v>
      </c>
      <c r="B11" s="9" t="s">
        <v>554</v>
      </c>
      <c r="C11" s="9" t="s">
        <v>555</v>
      </c>
      <c r="D11" s="9" t="s">
        <v>556</v>
      </c>
      <c r="E11" s="9" t="s">
        <v>557</v>
      </c>
      <c r="F11" s="9" t="s">
        <v>558</v>
      </c>
    </row>
    <row r="12" spans="1:6" ht="97.95" customHeight="1">
      <c r="A12" s="9" t="s">
        <v>559</v>
      </c>
      <c r="B12" s="9" t="s">
        <v>560</v>
      </c>
      <c r="C12" s="9" t="s">
        <v>561</v>
      </c>
      <c r="D12" s="9" t="s">
        <v>562</v>
      </c>
      <c r="E12" s="9" t="s">
        <v>563</v>
      </c>
      <c r="F12" s="9" t="s">
        <v>564</v>
      </c>
    </row>
    <row r="13" spans="1:6" ht="97.95" customHeight="1">
      <c r="A13" s="9" t="s">
        <v>565</v>
      </c>
      <c r="B13" s="9" t="s">
        <v>566</v>
      </c>
      <c r="C13" s="9" t="s">
        <v>567</v>
      </c>
      <c r="D13" s="9" t="s">
        <v>568</v>
      </c>
      <c r="E13" s="9" t="s">
        <v>569</v>
      </c>
      <c r="F13" s="9" t="s">
        <v>570</v>
      </c>
    </row>
    <row r="14" spans="1:6" ht="97.95" customHeight="1">
      <c r="A14" s="9" t="s">
        <v>571</v>
      </c>
      <c r="B14" s="9" t="s">
        <v>572</v>
      </c>
      <c r="C14" s="9" t="s">
        <v>573</v>
      </c>
      <c r="D14" s="9" t="s">
        <v>169</v>
      </c>
      <c r="E14" s="9" t="s">
        <v>574</v>
      </c>
      <c r="F14" s="9" t="s">
        <v>575</v>
      </c>
    </row>
    <row r="15" spans="1:6" ht="97.95" customHeight="1">
      <c r="A15" s="9" t="s">
        <v>576</v>
      </c>
      <c r="B15" s="9" t="s">
        <v>577</v>
      </c>
      <c r="C15" s="9" t="s">
        <v>578</v>
      </c>
      <c r="D15" s="9" t="s">
        <v>174</v>
      </c>
      <c r="E15" s="9" t="s">
        <v>579</v>
      </c>
      <c r="F15" s="9" t="s">
        <v>580</v>
      </c>
    </row>
    <row r="16" spans="1:6" ht="97.95" customHeight="1">
      <c r="A16" s="9" t="s">
        <v>581</v>
      </c>
      <c r="B16" s="9" t="s">
        <v>582</v>
      </c>
      <c r="C16" s="9" t="s">
        <v>583</v>
      </c>
      <c r="D16" s="9" t="s">
        <v>331</v>
      </c>
      <c r="E16" s="9" t="s">
        <v>584</v>
      </c>
      <c r="F16" s="9" t="s">
        <v>585</v>
      </c>
    </row>
    <row r="17" spans="1:6" ht="97.95" customHeight="1">
      <c r="A17" s="9" t="s">
        <v>586</v>
      </c>
      <c r="B17" s="9" t="s">
        <v>587</v>
      </c>
      <c r="C17" s="9" t="s">
        <v>588</v>
      </c>
      <c r="D17" s="9" t="s">
        <v>336</v>
      </c>
      <c r="E17" s="9" t="s">
        <v>579</v>
      </c>
      <c r="F17" s="9" t="s">
        <v>589</v>
      </c>
    </row>
    <row r="18" spans="1:6" ht="97.95" customHeight="1">
      <c r="A18" s="9" t="s">
        <v>590</v>
      </c>
      <c r="B18" s="9" t="s">
        <v>591</v>
      </c>
      <c r="C18" s="9" t="s">
        <v>592</v>
      </c>
      <c r="D18" s="9" t="s">
        <v>593</v>
      </c>
      <c r="E18" s="9" t="s">
        <v>594</v>
      </c>
      <c r="F18" s="9" t="s">
        <v>595</v>
      </c>
    </row>
    <row r="19" spans="1:6" ht="97.95" customHeight="1">
      <c r="A19" s="9" t="s">
        <v>596</v>
      </c>
      <c r="B19" s="9" t="s">
        <v>597</v>
      </c>
      <c r="C19" s="9" t="s">
        <v>598</v>
      </c>
      <c r="D19" s="9" t="s">
        <v>599</v>
      </c>
      <c r="E19" s="9" t="s">
        <v>600</v>
      </c>
      <c r="F19" s="9" t="s">
        <v>601</v>
      </c>
    </row>
    <row r="20" spans="1:6" ht="97.95" customHeight="1">
      <c r="A20" s="9" t="s">
        <v>602</v>
      </c>
      <c r="B20" s="9" t="s">
        <v>603</v>
      </c>
      <c r="C20" s="9" t="s">
        <v>604</v>
      </c>
      <c r="D20" s="9" t="s">
        <v>605</v>
      </c>
      <c r="E20" s="9" t="s">
        <v>606</v>
      </c>
      <c r="F20" s="9" t="s">
        <v>607</v>
      </c>
    </row>
    <row r="21" spans="1:6" ht="97.95" customHeight="1">
      <c r="A21" s="9" t="s">
        <v>608</v>
      </c>
      <c r="B21" s="9" t="s">
        <v>609</v>
      </c>
      <c r="C21" s="9" t="s">
        <v>610</v>
      </c>
      <c r="D21" s="9" t="s">
        <v>611</v>
      </c>
      <c r="E21" s="9" t="s">
        <v>612</v>
      </c>
      <c r="F21" s="9" t="s">
        <v>613</v>
      </c>
    </row>
    <row r="22" spans="1:6" ht="97.95" customHeight="1">
      <c r="A22" s="9" t="s">
        <v>614</v>
      </c>
      <c r="B22" s="9" t="s">
        <v>615</v>
      </c>
      <c r="C22" s="9" t="s">
        <v>616</v>
      </c>
      <c r="D22" s="9" t="s">
        <v>617</v>
      </c>
      <c r="E22" s="9" t="s">
        <v>618</v>
      </c>
      <c r="F22" s="9" t="s">
        <v>619</v>
      </c>
    </row>
    <row r="23" spans="1:6" ht="109.95" customHeight="1">
      <c r="A23" s="19"/>
      <c r="B23" s="19"/>
      <c r="C23" s="19"/>
      <c r="D23" s="19"/>
      <c r="E23" s="19"/>
      <c r="F23" s="19"/>
    </row>
    <row r="24" spans="1:6" ht="109.95" customHeight="1">
      <c r="A24" s="16" t="s">
        <v>620</v>
      </c>
      <c r="B24" s="16" t="s">
        <v>621</v>
      </c>
      <c r="C24" s="16" t="s">
        <v>622</v>
      </c>
      <c r="D24" s="1" t="s">
        <v>623</v>
      </c>
      <c r="E24" s="1" t="s">
        <v>624</v>
      </c>
      <c r="F24" s="1" t="s">
        <v>625</v>
      </c>
    </row>
    <row r="25" spans="1:6" ht="82.05" customHeight="1">
      <c r="A25" s="9" t="s">
        <v>626</v>
      </c>
      <c r="B25" s="9" t="s">
        <v>40</v>
      </c>
      <c r="C25" s="9" t="s">
        <v>627</v>
      </c>
      <c r="D25" s="4" t="s">
        <v>628</v>
      </c>
      <c r="E25" s="4" t="s">
        <v>629</v>
      </c>
      <c r="F25" s="4" t="s">
        <v>630</v>
      </c>
    </row>
    <row r="26" spans="1:6" ht="82.05" customHeight="1">
      <c r="A26" s="9" t="s">
        <v>631</v>
      </c>
      <c r="B26" s="9" t="s">
        <v>632</v>
      </c>
      <c r="C26" s="9" t="s">
        <v>633</v>
      </c>
      <c r="D26" s="1"/>
      <c r="E26" s="1"/>
      <c r="F26" s="1"/>
    </row>
    <row r="27" spans="1:6" ht="82.05" customHeight="1">
      <c r="A27" s="17" t="s">
        <v>634</v>
      </c>
      <c r="B27" s="17" t="s">
        <v>635</v>
      </c>
      <c r="C27" s="17" t="s">
        <v>636</v>
      </c>
      <c r="D27" s="3"/>
      <c r="E27" s="3"/>
      <c r="F27" s="3"/>
    </row>
    <row r="28" spans="1:6" ht="82.05" customHeight="1">
      <c r="A28" s="9" t="s">
        <v>637</v>
      </c>
      <c r="B28" s="9" t="s">
        <v>638</v>
      </c>
      <c r="C28" s="9" t="s">
        <v>639</v>
      </c>
      <c r="D28" s="1"/>
      <c r="E28" s="1"/>
      <c r="F28" s="1"/>
    </row>
    <row r="29" spans="1:6" ht="82.05" customHeight="1">
      <c r="A29" s="9" t="s">
        <v>640</v>
      </c>
      <c r="B29" s="9" t="s">
        <v>641</v>
      </c>
      <c r="C29" s="9" t="s">
        <v>642</v>
      </c>
      <c r="D29" s="1"/>
      <c r="E29" s="1"/>
      <c r="F29" s="1"/>
    </row>
    <row r="30" spans="1:6" ht="82.05" customHeight="1">
      <c r="A30" s="9" t="s">
        <v>643</v>
      </c>
      <c r="B30" s="9" t="s">
        <v>644</v>
      </c>
      <c r="C30" s="9" t="s">
        <v>645</v>
      </c>
      <c r="D30" s="1"/>
      <c r="E30" s="1"/>
      <c r="F30" s="1"/>
    </row>
    <row r="31" spans="1:6" ht="70.05" customHeight="1">
      <c r="A31" s="19"/>
      <c r="B31" s="19"/>
      <c r="C31" s="19"/>
      <c r="D31" s="19"/>
      <c r="E31" s="19"/>
      <c r="F31" s="19"/>
    </row>
    <row r="32" spans="1:6" ht="34.049999999999997" customHeight="1">
      <c r="A32" s="23" t="s">
        <v>646</v>
      </c>
      <c r="B32" s="24"/>
      <c r="C32" s="24"/>
      <c r="D32" s="24"/>
      <c r="E32" s="24"/>
      <c r="F32" s="24"/>
    </row>
    <row r="33" spans="1:6" ht="30" customHeight="1">
      <c r="A33" s="8" t="s">
        <v>513</v>
      </c>
      <c r="B33" s="8" t="s">
        <v>514</v>
      </c>
      <c r="C33" s="8" t="s">
        <v>515</v>
      </c>
      <c r="D33" s="8" t="s">
        <v>516</v>
      </c>
      <c r="E33" s="8" t="s">
        <v>517</v>
      </c>
      <c r="F33" s="8" t="s">
        <v>518</v>
      </c>
    </row>
    <row r="34" spans="1:6" ht="100.05" customHeight="1">
      <c r="A34" s="9" t="s">
        <v>647</v>
      </c>
      <c r="B34" s="9" t="s">
        <v>648</v>
      </c>
      <c r="C34" s="9" t="s">
        <v>649</v>
      </c>
      <c r="D34" s="9" t="s">
        <v>650</v>
      </c>
      <c r="E34" s="9" t="s">
        <v>651</v>
      </c>
      <c r="F34" s="9" t="s">
        <v>652</v>
      </c>
    </row>
    <row r="35" spans="1:6" ht="100.05" customHeight="1">
      <c r="A35" s="9" t="s">
        <v>653</v>
      </c>
      <c r="B35" s="9" t="s">
        <v>654</v>
      </c>
      <c r="C35" s="9" t="s">
        <v>655</v>
      </c>
      <c r="D35" s="9" t="s">
        <v>656</v>
      </c>
      <c r="E35" s="9" t="s">
        <v>657</v>
      </c>
      <c r="F35" s="9" t="s">
        <v>658</v>
      </c>
    </row>
    <row r="36" spans="1:6" ht="100.05" customHeight="1">
      <c r="A36" s="9" t="s">
        <v>659</v>
      </c>
      <c r="B36" s="9" t="s">
        <v>660</v>
      </c>
      <c r="C36" s="9" t="s">
        <v>661</v>
      </c>
      <c r="D36" s="9" t="s">
        <v>662</v>
      </c>
      <c r="E36" s="9" t="s">
        <v>663</v>
      </c>
      <c r="F36" s="9" t="s">
        <v>664</v>
      </c>
    </row>
    <row r="37" spans="1:6" ht="100.05" customHeight="1">
      <c r="A37" s="9" t="s">
        <v>665</v>
      </c>
      <c r="B37" s="9" t="s">
        <v>666</v>
      </c>
      <c r="C37" s="9" t="s">
        <v>667</v>
      </c>
      <c r="D37" s="9" t="s">
        <v>668</v>
      </c>
      <c r="E37" s="9" t="s">
        <v>669</v>
      </c>
      <c r="F37" s="9" t="s">
        <v>670</v>
      </c>
    </row>
    <row r="38" spans="1:6" ht="100.05" customHeight="1">
      <c r="A38" s="9" t="s">
        <v>671</v>
      </c>
      <c r="B38" s="9" t="s">
        <v>672</v>
      </c>
      <c r="C38" s="9" t="s">
        <v>673</v>
      </c>
      <c r="D38" s="9" t="s">
        <v>674</v>
      </c>
      <c r="E38" s="9" t="s">
        <v>675</v>
      </c>
      <c r="F38" s="9" t="s">
        <v>676</v>
      </c>
    </row>
    <row r="39" spans="1:6" ht="100.05" customHeight="1">
      <c r="A39" s="9" t="s">
        <v>677</v>
      </c>
      <c r="B39" s="9" t="s">
        <v>678</v>
      </c>
      <c r="C39" s="9" t="s">
        <v>679</v>
      </c>
      <c r="D39" s="9" t="s">
        <v>680</v>
      </c>
      <c r="E39" s="9" t="s">
        <v>681</v>
      </c>
      <c r="F39" s="9" t="s">
        <v>682</v>
      </c>
    </row>
    <row r="40" spans="1:6" ht="100.05" customHeight="1">
      <c r="A40" s="9" t="s">
        <v>683</v>
      </c>
      <c r="B40" s="9" t="s">
        <v>684</v>
      </c>
      <c r="C40" s="9" t="s">
        <v>685</v>
      </c>
      <c r="D40" s="9" t="s">
        <v>686</v>
      </c>
      <c r="E40" s="9" t="s">
        <v>687</v>
      </c>
      <c r="F40" s="9" t="s">
        <v>688</v>
      </c>
    </row>
    <row r="41" spans="1:6" ht="100.05" customHeight="1">
      <c r="A41" s="9" t="s">
        <v>689</v>
      </c>
      <c r="B41" s="9" t="s">
        <v>690</v>
      </c>
      <c r="C41" s="9" t="s">
        <v>691</v>
      </c>
      <c r="D41" s="9" t="s">
        <v>692</v>
      </c>
      <c r="E41" s="9" t="s">
        <v>693</v>
      </c>
      <c r="F41" s="9" t="s">
        <v>694</v>
      </c>
    </row>
    <row r="42" spans="1:6" ht="100.05" customHeight="1">
      <c r="A42" s="9" t="s">
        <v>695</v>
      </c>
      <c r="B42" s="9" t="s">
        <v>696</v>
      </c>
      <c r="C42" s="9" t="s">
        <v>697</v>
      </c>
      <c r="D42" s="9" t="s">
        <v>698</v>
      </c>
      <c r="E42" s="9" t="s">
        <v>699</v>
      </c>
      <c r="F42" s="9" t="s">
        <v>700</v>
      </c>
    </row>
    <row r="43" spans="1:6" ht="100.05" customHeight="1">
      <c r="A43" s="9" t="s">
        <v>701</v>
      </c>
      <c r="B43" s="9" t="s">
        <v>702</v>
      </c>
      <c r="C43" s="9" t="s">
        <v>703</v>
      </c>
      <c r="D43" s="9" t="s">
        <v>704</v>
      </c>
      <c r="E43" s="9" t="s">
        <v>705</v>
      </c>
      <c r="F43" s="9" t="s">
        <v>706</v>
      </c>
    </row>
    <row r="44" spans="1:6" ht="100.05" customHeight="1">
      <c r="A44" s="9" t="s">
        <v>707</v>
      </c>
      <c r="B44" s="9" t="s">
        <v>708</v>
      </c>
      <c r="C44" s="9" t="s">
        <v>709</v>
      </c>
      <c r="D44" s="9" t="s">
        <v>710</v>
      </c>
      <c r="E44" s="9" t="s">
        <v>711</v>
      </c>
      <c r="F44" s="9" t="s">
        <v>712</v>
      </c>
    </row>
    <row r="45" spans="1:6" ht="220.05" customHeight="1">
      <c r="A45" s="20" t="s">
        <v>713</v>
      </c>
      <c r="B45" s="20" t="s">
        <v>714</v>
      </c>
      <c r="C45" s="20" t="s">
        <v>715</v>
      </c>
      <c r="D45" s="20" t="s">
        <v>716</v>
      </c>
      <c r="E45" s="20" t="s">
        <v>717</v>
      </c>
      <c r="F45" s="20" t="s">
        <v>718</v>
      </c>
    </row>
    <row r="46" spans="1:6" ht="180" customHeight="1">
      <c r="A46" s="20" t="s">
        <v>719</v>
      </c>
      <c r="B46" s="20" t="s">
        <v>720</v>
      </c>
      <c r="C46" s="20" t="s">
        <v>721</v>
      </c>
      <c r="D46" s="20" t="s">
        <v>722</v>
      </c>
      <c r="E46" s="20" t="s">
        <v>723</v>
      </c>
      <c r="F46" s="20" t="s">
        <v>724</v>
      </c>
    </row>
    <row r="47" spans="1:6" ht="190.05" customHeight="1">
      <c r="A47" s="20" t="s">
        <v>725</v>
      </c>
      <c r="B47" s="20" t="s">
        <v>726</v>
      </c>
      <c r="C47" s="20" t="s">
        <v>727</v>
      </c>
      <c r="D47" s="20" t="s">
        <v>728</v>
      </c>
      <c r="E47" s="20" t="s">
        <v>729</v>
      </c>
      <c r="F47" s="20" t="s">
        <v>730</v>
      </c>
    </row>
    <row r="48" spans="1:6" ht="120" customHeight="1">
      <c r="A48" s="20" t="s">
        <v>731</v>
      </c>
      <c r="B48" s="20" t="s">
        <v>732</v>
      </c>
      <c r="C48" s="20" t="s">
        <v>733</v>
      </c>
      <c r="D48" s="20" t="s">
        <v>734</v>
      </c>
      <c r="E48" s="20" t="s">
        <v>735</v>
      </c>
      <c r="F48" s="20" t="s">
        <v>736</v>
      </c>
    </row>
    <row r="49" spans="1:6" ht="225" customHeight="1">
      <c r="A49" s="20" t="s">
        <v>737</v>
      </c>
      <c r="B49" s="20" t="s">
        <v>738</v>
      </c>
      <c r="C49" s="20" t="s">
        <v>739</v>
      </c>
      <c r="D49" s="20" t="s">
        <v>740</v>
      </c>
      <c r="E49" s="20" t="s">
        <v>741</v>
      </c>
      <c r="F49" s="20" t="s">
        <v>742</v>
      </c>
    </row>
    <row r="51" spans="1:6" ht="25.95" customHeight="1">
      <c r="A51" s="23" t="s">
        <v>743</v>
      </c>
      <c r="B51" s="24"/>
      <c r="C51" s="24"/>
      <c r="D51" s="24"/>
      <c r="E51" s="24"/>
      <c r="F51" s="24"/>
    </row>
    <row r="52" spans="1:6" ht="30" customHeight="1">
      <c r="A52" s="40" t="s">
        <v>744</v>
      </c>
      <c r="B52" s="24"/>
      <c r="C52" s="24"/>
      <c r="D52" s="24"/>
      <c r="E52" s="24"/>
      <c r="F52" s="24"/>
    </row>
    <row r="53" spans="1:6" ht="30" customHeight="1">
      <c r="A53" s="9" t="s">
        <v>745</v>
      </c>
      <c r="B53" s="39" t="s">
        <v>746</v>
      </c>
      <c r="C53" s="31"/>
      <c r="D53" s="31"/>
      <c r="E53" s="31"/>
      <c r="F53" s="32"/>
    </row>
    <row r="54" spans="1:6" ht="42" customHeight="1">
      <c r="A54" s="9" t="s">
        <v>747</v>
      </c>
      <c r="B54" s="38" t="s">
        <v>748</v>
      </c>
      <c r="C54" s="31"/>
      <c r="D54" s="31"/>
      <c r="E54" s="31"/>
      <c r="F54" s="32"/>
    </row>
    <row r="55" spans="1:6" ht="25.95" customHeight="1">
      <c r="A55" s="9" t="s">
        <v>749</v>
      </c>
      <c r="B55" s="38" t="s">
        <v>750</v>
      </c>
      <c r="C55" s="31"/>
      <c r="D55" s="31"/>
      <c r="E55" s="31"/>
      <c r="F55" s="32"/>
    </row>
    <row r="56" spans="1:6" ht="25.95" customHeight="1">
      <c r="A56" s="9" t="s">
        <v>751</v>
      </c>
      <c r="B56" s="38" t="s">
        <v>752</v>
      </c>
      <c r="C56" s="31"/>
      <c r="D56" s="31"/>
      <c r="E56" s="31"/>
      <c r="F56" s="32"/>
    </row>
    <row r="57" spans="1:6" ht="30" customHeight="1">
      <c r="A57" s="9" t="s">
        <v>753</v>
      </c>
      <c r="B57" s="38" t="s">
        <v>754</v>
      </c>
      <c r="C57" s="31"/>
      <c r="D57" s="31"/>
      <c r="E57" s="31"/>
      <c r="F57" s="32"/>
    </row>
    <row r="58" spans="1:6" ht="25.95" customHeight="1">
      <c r="A58" s="9" t="s">
        <v>755</v>
      </c>
      <c r="B58" s="38" t="s">
        <v>756</v>
      </c>
      <c r="C58" s="31"/>
      <c r="D58" s="31"/>
      <c r="E58" s="31"/>
      <c r="F58" s="32"/>
    </row>
    <row r="59" spans="1:6" ht="30" customHeight="1">
      <c r="A59" s="9" t="s">
        <v>757</v>
      </c>
      <c r="B59" s="38" t="s">
        <v>758</v>
      </c>
      <c r="C59" s="31"/>
      <c r="D59" s="31"/>
      <c r="E59" s="31"/>
      <c r="F59" s="32"/>
    </row>
    <row r="60" spans="1:6" ht="37.950000000000003" customHeight="1">
      <c r="A60" s="9" t="s">
        <v>759</v>
      </c>
      <c r="B60" s="38" t="s">
        <v>760</v>
      </c>
      <c r="C60" s="31"/>
      <c r="D60" s="31"/>
      <c r="E60" s="31"/>
      <c r="F60" s="32"/>
    </row>
    <row r="61" spans="1:6" ht="37.950000000000003" customHeight="1">
      <c r="A61" s="9" t="s">
        <v>759</v>
      </c>
      <c r="B61" s="38" t="s">
        <v>761</v>
      </c>
      <c r="C61" s="31"/>
      <c r="D61" s="31"/>
      <c r="E61" s="31"/>
      <c r="F61" s="32"/>
    </row>
    <row r="62" spans="1:6" ht="37.950000000000003" customHeight="1">
      <c r="A62" s="9" t="s">
        <v>759</v>
      </c>
      <c r="B62" s="38" t="s">
        <v>762</v>
      </c>
      <c r="C62" s="31"/>
      <c r="D62" s="31"/>
      <c r="E62" s="31"/>
      <c r="F62" s="32"/>
    </row>
    <row r="63" spans="1:6" ht="37.950000000000003" customHeight="1">
      <c r="A63" s="9" t="s">
        <v>759</v>
      </c>
      <c r="B63" s="38" t="s">
        <v>763</v>
      </c>
      <c r="C63" s="31"/>
      <c r="D63" s="31"/>
      <c r="E63" s="31"/>
      <c r="F63" s="32"/>
    </row>
    <row r="64" spans="1:6" ht="43.95" customHeight="1">
      <c r="A64" s="9" t="s">
        <v>764</v>
      </c>
      <c r="B64" s="38" t="s">
        <v>765</v>
      </c>
      <c r="C64" s="31"/>
      <c r="D64" s="31"/>
      <c r="E64" s="31"/>
      <c r="F64" s="32"/>
    </row>
    <row r="65" spans="1:6" ht="30" customHeight="1">
      <c r="A65" s="9" t="s">
        <v>766</v>
      </c>
      <c r="B65" s="38" t="s">
        <v>767</v>
      </c>
      <c r="C65" s="31"/>
      <c r="D65" s="31"/>
      <c r="E65" s="31"/>
      <c r="F65" s="32"/>
    </row>
    <row r="66" spans="1:6" ht="78" customHeight="1">
      <c r="A66" s="9" t="s">
        <v>768</v>
      </c>
      <c r="B66" s="38" t="s">
        <v>769</v>
      </c>
      <c r="C66" s="31"/>
      <c r="D66" s="31"/>
      <c r="E66" s="31"/>
      <c r="F66" s="32"/>
    </row>
    <row r="67" spans="1:6" ht="52.05" customHeight="1">
      <c r="A67" s="9" t="s">
        <v>770</v>
      </c>
      <c r="B67" s="38" t="s">
        <v>771</v>
      </c>
      <c r="C67" s="31"/>
      <c r="D67" s="31"/>
      <c r="E67" s="31"/>
      <c r="F67" s="32"/>
    </row>
    <row r="68" spans="1:6" ht="43.95" customHeight="1">
      <c r="A68" s="9" t="s">
        <v>772</v>
      </c>
      <c r="B68" s="38" t="s">
        <v>773</v>
      </c>
      <c r="C68" s="31"/>
      <c r="D68" s="31"/>
      <c r="E68" s="31"/>
      <c r="F68" s="32"/>
    </row>
    <row r="69" spans="1:6" ht="48" customHeight="1">
      <c r="A69" s="9" t="s">
        <v>774</v>
      </c>
      <c r="B69" s="38" t="s">
        <v>775</v>
      </c>
      <c r="C69" s="31"/>
      <c r="D69" s="31"/>
      <c r="E69" s="31"/>
      <c r="F69" s="32"/>
    </row>
    <row r="71" spans="1:6" ht="30" customHeight="1">
      <c r="A71" s="40" t="s">
        <v>776</v>
      </c>
      <c r="B71" s="24"/>
      <c r="C71" s="24"/>
      <c r="D71" s="24"/>
      <c r="E71" s="24"/>
      <c r="F71" s="24"/>
    </row>
    <row r="72" spans="1:6" ht="30" customHeight="1">
      <c r="A72" s="9" t="s">
        <v>745</v>
      </c>
      <c r="B72" s="39" t="s">
        <v>777</v>
      </c>
      <c r="C72" s="31"/>
      <c r="D72" s="31"/>
      <c r="E72" s="31"/>
      <c r="F72" s="32"/>
    </row>
    <row r="73" spans="1:6" ht="42" customHeight="1">
      <c r="A73" s="9" t="s">
        <v>747</v>
      </c>
      <c r="B73" s="38" t="s">
        <v>778</v>
      </c>
      <c r="C73" s="31"/>
      <c r="D73" s="31"/>
      <c r="E73" s="31"/>
      <c r="F73" s="32"/>
    </row>
    <row r="74" spans="1:6" ht="25.95" customHeight="1">
      <c r="A74" s="9" t="s">
        <v>749</v>
      </c>
      <c r="B74" s="38" t="s">
        <v>779</v>
      </c>
      <c r="C74" s="31"/>
      <c r="D74" s="31"/>
      <c r="E74" s="31"/>
      <c r="F74" s="32"/>
    </row>
    <row r="75" spans="1:6" ht="25.95" customHeight="1">
      <c r="A75" s="9" t="s">
        <v>751</v>
      </c>
      <c r="B75" s="38" t="s">
        <v>780</v>
      </c>
      <c r="C75" s="31"/>
      <c r="D75" s="31"/>
      <c r="E75" s="31"/>
      <c r="F75" s="32"/>
    </row>
    <row r="76" spans="1:6" ht="30" customHeight="1">
      <c r="A76" s="9" t="s">
        <v>753</v>
      </c>
      <c r="B76" s="38" t="s">
        <v>754</v>
      </c>
      <c r="C76" s="31"/>
      <c r="D76" s="31"/>
      <c r="E76" s="31"/>
      <c r="F76" s="32"/>
    </row>
    <row r="77" spans="1:6" ht="25.95" customHeight="1">
      <c r="A77" s="9" t="s">
        <v>755</v>
      </c>
      <c r="B77" s="38" t="s">
        <v>781</v>
      </c>
      <c r="C77" s="31"/>
      <c r="D77" s="31"/>
      <c r="E77" s="31"/>
      <c r="F77" s="32"/>
    </row>
    <row r="78" spans="1:6" ht="30" customHeight="1">
      <c r="A78" s="9" t="s">
        <v>757</v>
      </c>
      <c r="B78" s="38" t="s">
        <v>758</v>
      </c>
      <c r="C78" s="31"/>
      <c r="D78" s="31"/>
      <c r="E78" s="31"/>
      <c r="F78" s="32"/>
    </row>
    <row r="79" spans="1:6" ht="37.950000000000003" customHeight="1">
      <c r="A79" s="9" t="s">
        <v>759</v>
      </c>
      <c r="B79" s="38" t="s">
        <v>782</v>
      </c>
      <c r="C79" s="31"/>
      <c r="D79" s="31"/>
      <c r="E79" s="31"/>
      <c r="F79" s="32"/>
    </row>
    <row r="80" spans="1:6" ht="37.950000000000003" customHeight="1">
      <c r="A80" s="9" t="s">
        <v>759</v>
      </c>
      <c r="B80" s="38" t="s">
        <v>783</v>
      </c>
      <c r="C80" s="31"/>
      <c r="D80" s="31"/>
      <c r="E80" s="31"/>
      <c r="F80" s="32"/>
    </row>
    <row r="81" spans="1:6" ht="37.950000000000003" customHeight="1">
      <c r="A81" s="9" t="s">
        <v>759</v>
      </c>
      <c r="B81" s="38" t="s">
        <v>784</v>
      </c>
      <c r="C81" s="31"/>
      <c r="D81" s="31"/>
      <c r="E81" s="31"/>
      <c r="F81" s="32"/>
    </row>
    <row r="82" spans="1:6" ht="37.950000000000003" customHeight="1">
      <c r="A82" s="9" t="s">
        <v>759</v>
      </c>
      <c r="B82" s="38" t="s">
        <v>785</v>
      </c>
      <c r="C82" s="31"/>
      <c r="D82" s="31"/>
      <c r="E82" s="31"/>
      <c r="F82" s="32"/>
    </row>
    <row r="83" spans="1:6" ht="43.95" customHeight="1">
      <c r="A83" s="9" t="s">
        <v>764</v>
      </c>
      <c r="B83" s="38" t="s">
        <v>786</v>
      </c>
      <c r="C83" s="31"/>
      <c r="D83" s="31"/>
      <c r="E83" s="31"/>
      <c r="F83" s="32"/>
    </row>
    <row r="84" spans="1:6" ht="30" customHeight="1">
      <c r="A84" s="9" t="s">
        <v>766</v>
      </c>
      <c r="B84" s="38" t="s">
        <v>787</v>
      </c>
      <c r="C84" s="31"/>
      <c r="D84" s="31"/>
      <c r="E84" s="31"/>
      <c r="F84" s="32"/>
    </row>
    <row r="85" spans="1:6" ht="78" customHeight="1">
      <c r="A85" s="9" t="s">
        <v>768</v>
      </c>
      <c r="B85" s="38" t="s">
        <v>769</v>
      </c>
      <c r="C85" s="31"/>
      <c r="D85" s="31"/>
      <c r="E85" s="31"/>
      <c r="F85" s="32"/>
    </row>
    <row r="86" spans="1:6" ht="52.05" customHeight="1">
      <c r="A86" s="9" t="s">
        <v>770</v>
      </c>
      <c r="B86" s="38" t="s">
        <v>771</v>
      </c>
      <c r="C86" s="31"/>
      <c r="D86" s="31"/>
      <c r="E86" s="31"/>
      <c r="F86" s="32"/>
    </row>
    <row r="87" spans="1:6" ht="43.95" customHeight="1">
      <c r="A87" s="9" t="s">
        <v>772</v>
      </c>
      <c r="B87" s="38" t="s">
        <v>788</v>
      </c>
      <c r="C87" s="31"/>
      <c r="D87" s="31"/>
      <c r="E87" s="31"/>
      <c r="F87" s="32"/>
    </row>
    <row r="88" spans="1:6" ht="48" customHeight="1">
      <c r="A88" s="9" t="s">
        <v>774</v>
      </c>
      <c r="B88" s="38" t="s">
        <v>789</v>
      </c>
      <c r="C88" s="31"/>
      <c r="D88" s="31"/>
      <c r="E88" s="31"/>
      <c r="F88" s="32"/>
    </row>
    <row r="90" spans="1:6" ht="30" customHeight="1">
      <c r="A90" s="40" t="s">
        <v>790</v>
      </c>
      <c r="B90" s="24"/>
      <c r="C90" s="24"/>
      <c r="D90" s="24"/>
      <c r="E90" s="24"/>
      <c r="F90" s="24"/>
    </row>
    <row r="91" spans="1:6" ht="30" customHeight="1">
      <c r="A91" s="9" t="s">
        <v>745</v>
      </c>
      <c r="B91" s="39" t="s">
        <v>791</v>
      </c>
      <c r="C91" s="31"/>
      <c r="D91" s="31"/>
      <c r="E91" s="31"/>
      <c r="F91" s="32"/>
    </row>
    <row r="92" spans="1:6" ht="42" customHeight="1">
      <c r="A92" s="9" t="s">
        <v>747</v>
      </c>
      <c r="B92" s="38" t="s">
        <v>792</v>
      </c>
      <c r="C92" s="31"/>
      <c r="D92" s="31"/>
      <c r="E92" s="31"/>
      <c r="F92" s="32"/>
    </row>
    <row r="93" spans="1:6" ht="25.95" customHeight="1">
      <c r="A93" s="9" t="s">
        <v>749</v>
      </c>
      <c r="B93" s="38" t="s">
        <v>793</v>
      </c>
      <c r="C93" s="31"/>
      <c r="D93" s="31"/>
      <c r="E93" s="31"/>
      <c r="F93" s="32"/>
    </row>
    <row r="94" spans="1:6" ht="25.95" customHeight="1">
      <c r="A94" s="9" t="s">
        <v>751</v>
      </c>
      <c r="B94" s="38" t="s">
        <v>780</v>
      </c>
      <c r="C94" s="31"/>
      <c r="D94" s="31"/>
      <c r="E94" s="31"/>
      <c r="F94" s="32"/>
    </row>
    <row r="95" spans="1:6" ht="30" customHeight="1">
      <c r="A95" s="9" t="s">
        <v>753</v>
      </c>
      <c r="B95" s="38" t="s">
        <v>781</v>
      </c>
      <c r="C95" s="31"/>
      <c r="D95" s="31"/>
      <c r="E95" s="31"/>
      <c r="F95" s="32"/>
    </row>
    <row r="96" spans="1:6" ht="25.95" customHeight="1">
      <c r="A96" s="9" t="s">
        <v>755</v>
      </c>
      <c r="B96" s="38" t="s">
        <v>781</v>
      </c>
      <c r="C96" s="31"/>
      <c r="D96" s="31"/>
      <c r="E96" s="31"/>
      <c r="F96" s="32"/>
    </row>
    <row r="97" spans="1:6" ht="30" customHeight="1">
      <c r="A97" s="9" t="s">
        <v>757</v>
      </c>
      <c r="B97" s="38" t="s">
        <v>794</v>
      </c>
      <c r="C97" s="31"/>
      <c r="D97" s="31"/>
      <c r="E97" s="31"/>
      <c r="F97" s="32"/>
    </row>
    <row r="98" spans="1:6" ht="37.950000000000003" customHeight="1">
      <c r="A98" s="9" t="s">
        <v>759</v>
      </c>
      <c r="B98" s="38" t="s">
        <v>795</v>
      </c>
      <c r="C98" s="31"/>
      <c r="D98" s="31"/>
      <c r="E98" s="31"/>
      <c r="F98" s="32"/>
    </row>
    <row r="99" spans="1:6" ht="37.950000000000003" customHeight="1">
      <c r="A99" s="9" t="s">
        <v>759</v>
      </c>
      <c r="B99" s="38" t="s">
        <v>796</v>
      </c>
      <c r="C99" s="31"/>
      <c r="D99" s="31"/>
      <c r="E99" s="31"/>
      <c r="F99" s="32"/>
    </row>
    <row r="100" spans="1:6" ht="37.950000000000003" customHeight="1">
      <c r="A100" s="9" t="s">
        <v>759</v>
      </c>
      <c r="B100" s="38" t="s">
        <v>797</v>
      </c>
      <c r="C100" s="31"/>
      <c r="D100" s="31"/>
      <c r="E100" s="31"/>
      <c r="F100" s="32"/>
    </row>
    <row r="101" spans="1:6" ht="37.950000000000003" customHeight="1">
      <c r="A101" s="9" t="s">
        <v>759</v>
      </c>
      <c r="B101" s="38" t="s">
        <v>798</v>
      </c>
      <c r="C101" s="31"/>
      <c r="D101" s="31"/>
      <c r="E101" s="31"/>
      <c r="F101" s="32"/>
    </row>
    <row r="102" spans="1:6" ht="43.95" customHeight="1">
      <c r="A102" s="9" t="s">
        <v>764</v>
      </c>
      <c r="B102" s="38" t="s">
        <v>799</v>
      </c>
      <c r="C102" s="31"/>
      <c r="D102" s="31"/>
      <c r="E102" s="31"/>
      <c r="F102" s="32"/>
    </row>
    <row r="103" spans="1:6" ht="30" customHeight="1">
      <c r="A103" s="9" t="s">
        <v>766</v>
      </c>
      <c r="B103" s="38" t="s">
        <v>800</v>
      </c>
      <c r="C103" s="31"/>
      <c r="D103" s="31"/>
      <c r="E103" s="31"/>
      <c r="F103" s="32"/>
    </row>
    <row r="104" spans="1:6" ht="78" customHeight="1">
      <c r="A104" s="9" t="s">
        <v>768</v>
      </c>
      <c r="B104" s="38" t="s">
        <v>769</v>
      </c>
      <c r="C104" s="31"/>
      <c r="D104" s="31"/>
      <c r="E104" s="31"/>
      <c r="F104" s="32"/>
    </row>
    <row r="105" spans="1:6" ht="52.05" customHeight="1">
      <c r="A105" s="9" t="s">
        <v>770</v>
      </c>
      <c r="B105" s="38" t="s">
        <v>771</v>
      </c>
      <c r="C105" s="31"/>
      <c r="D105" s="31"/>
      <c r="E105" s="31"/>
      <c r="F105" s="32"/>
    </row>
    <row r="106" spans="1:6" ht="43.95" customHeight="1">
      <c r="A106" s="9" t="s">
        <v>772</v>
      </c>
      <c r="B106" s="38" t="s">
        <v>801</v>
      </c>
      <c r="C106" s="31"/>
      <c r="D106" s="31"/>
      <c r="E106" s="31"/>
      <c r="F106" s="32"/>
    </row>
    <row r="107" spans="1:6" ht="48" customHeight="1">
      <c r="A107" s="9" t="s">
        <v>774</v>
      </c>
      <c r="B107" s="38" t="s">
        <v>789</v>
      </c>
      <c r="C107" s="31"/>
      <c r="D107" s="31"/>
      <c r="E107" s="31"/>
      <c r="F107" s="32"/>
    </row>
    <row r="109" spans="1:6" ht="30" customHeight="1">
      <c r="A109" s="40" t="s">
        <v>802</v>
      </c>
      <c r="B109" s="24"/>
      <c r="C109" s="24"/>
      <c r="D109" s="24"/>
      <c r="E109" s="24"/>
      <c r="F109" s="24"/>
    </row>
    <row r="110" spans="1:6" ht="30" customHeight="1">
      <c r="A110" s="9" t="s">
        <v>745</v>
      </c>
      <c r="B110" s="39" t="s">
        <v>803</v>
      </c>
      <c r="C110" s="31"/>
      <c r="D110" s="31"/>
      <c r="E110" s="31"/>
      <c r="F110" s="32"/>
    </row>
    <row r="111" spans="1:6" ht="42" customHeight="1">
      <c r="A111" s="9" t="s">
        <v>747</v>
      </c>
      <c r="B111" s="38" t="s">
        <v>804</v>
      </c>
      <c r="C111" s="31"/>
      <c r="D111" s="31"/>
      <c r="E111" s="31"/>
      <c r="F111" s="32"/>
    </row>
    <row r="112" spans="1:6" ht="25.95" customHeight="1">
      <c r="A112" s="9" t="s">
        <v>749</v>
      </c>
      <c r="B112" s="38" t="s">
        <v>805</v>
      </c>
      <c r="C112" s="31"/>
      <c r="D112" s="31"/>
      <c r="E112" s="31"/>
      <c r="F112" s="32"/>
    </row>
    <row r="113" spans="1:6" ht="25.95" customHeight="1">
      <c r="A113" s="9" t="s">
        <v>751</v>
      </c>
      <c r="B113" s="38" t="s">
        <v>806</v>
      </c>
      <c r="C113" s="31"/>
      <c r="D113" s="31"/>
      <c r="E113" s="31"/>
      <c r="F113" s="32"/>
    </row>
    <row r="114" spans="1:6" ht="30" customHeight="1">
      <c r="A114" s="9" t="s">
        <v>753</v>
      </c>
      <c r="B114" s="38" t="s">
        <v>807</v>
      </c>
      <c r="C114" s="31"/>
      <c r="D114" s="31"/>
      <c r="E114" s="31"/>
      <c r="F114" s="32"/>
    </row>
    <row r="115" spans="1:6" ht="25.95" customHeight="1">
      <c r="A115" s="9" t="s">
        <v>755</v>
      </c>
      <c r="B115" s="38" t="s">
        <v>807</v>
      </c>
      <c r="C115" s="31"/>
      <c r="D115" s="31"/>
      <c r="E115" s="31"/>
      <c r="F115" s="32"/>
    </row>
    <row r="116" spans="1:6" ht="30" customHeight="1">
      <c r="A116" s="9" t="s">
        <v>757</v>
      </c>
      <c r="B116" s="38" t="s">
        <v>808</v>
      </c>
      <c r="C116" s="31"/>
      <c r="D116" s="31"/>
      <c r="E116" s="31"/>
      <c r="F116" s="32"/>
    </row>
    <row r="117" spans="1:6" ht="37.950000000000003" customHeight="1">
      <c r="A117" s="9" t="s">
        <v>759</v>
      </c>
      <c r="B117" s="38" t="s">
        <v>809</v>
      </c>
      <c r="C117" s="31"/>
      <c r="D117" s="31"/>
      <c r="E117" s="31"/>
      <c r="F117" s="32"/>
    </row>
    <row r="118" spans="1:6" ht="37.950000000000003" customHeight="1">
      <c r="A118" s="9" t="s">
        <v>759</v>
      </c>
      <c r="B118" s="38" t="s">
        <v>810</v>
      </c>
      <c r="C118" s="31"/>
      <c r="D118" s="31"/>
      <c r="E118" s="31"/>
      <c r="F118" s="32"/>
    </row>
    <row r="119" spans="1:6" ht="37.950000000000003" customHeight="1">
      <c r="A119" s="9" t="s">
        <v>759</v>
      </c>
      <c r="B119" s="38" t="s">
        <v>811</v>
      </c>
      <c r="C119" s="31"/>
      <c r="D119" s="31"/>
      <c r="E119" s="31"/>
      <c r="F119" s="32"/>
    </row>
    <row r="120" spans="1:6" ht="37.950000000000003" customHeight="1">
      <c r="A120" s="9" t="s">
        <v>759</v>
      </c>
      <c r="B120" s="38" t="s">
        <v>812</v>
      </c>
      <c r="C120" s="31"/>
      <c r="D120" s="31"/>
      <c r="E120" s="31"/>
      <c r="F120" s="32"/>
    </row>
    <row r="121" spans="1:6" ht="43.95" customHeight="1">
      <c r="A121" s="9" t="s">
        <v>764</v>
      </c>
      <c r="B121" s="38" t="s">
        <v>813</v>
      </c>
      <c r="C121" s="31"/>
      <c r="D121" s="31"/>
      <c r="E121" s="31"/>
      <c r="F121" s="32"/>
    </row>
    <row r="122" spans="1:6" ht="30" customHeight="1">
      <c r="A122" s="9" t="s">
        <v>766</v>
      </c>
      <c r="B122" s="38" t="s">
        <v>814</v>
      </c>
      <c r="C122" s="31"/>
      <c r="D122" s="31"/>
      <c r="E122" s="31"/>
      <c r="F122" s="32"/>
    </row>
    <row r="123" spans="1:6" ht="78" customHeight="1">
      <c r="A123" s="9" t="s">
        <v>768</v>
      </c>
      <c r="B123" s="38" t="s">
        <v>815</v>
      </c>
      <c r="C123" s="31"/>
      <c r="D123" s="31"/>
      <c r="E123" s="31"/>
      <c r="F123" s="32"/>
    </row>
    <row r="124" spans="1:6" ht="52.05" customHeight="1">
      <c r="A124" s="9" t="s">
        <v>770</v>
      </c>
      <c r="B124" s="38" t="s">
        <v>816</v>
      </c>
      <c r="C124" s="31"/>
      <c r="D124" s="31"/>
      <c r="E124" s="31"/>
      <c r="F124" s="32"/>
    </row>
    <row r="125" spans="1:6" ht="43.95" customHeight="1">
      <c r="A125" s="9" t="s">
        <v>772</v>
      </c>
      <c r="B125" s="38" t="s">
        <v>773</v>
      </c>
      <c r="C125" s="31"/>
      <c r="D125" s="31"/>
      <c r="E125" s="31"/>
      <c r="F125" s="32"/>
    </row>
    <row r="126" spans="1:6" ht="48" customHeight="1">
      <c r="A126" s="9" t="s">
        <v>774</v>
      </c>
      <c r="B126" s="38" t="s">
        <v>817</v>
      </c>
      <c r="C126" s="31"/>
      <c r="D126" s="31"/>
      <c r="E126" s="31"/>
      <c r="F126" s="32"/>
    </row>
    <row r="128" spans="1:6" ht="30" customHeight="1">
      <c r="A128" s="40" t="s">
        <v>818</v>
      </c>
      <c r="B128" s="24"/>
      <c r="C128" s="24"/>
      <c r="D128" s="24"/>
      <c r="E128" s="24"/>
      <c r="F128" s="24"/>
    </row>
    <row r="129" spans="1:6" ht="30" customHeight="1">
      <c r="A129" s="9" t="s">
        <v>745</v>
      </c>
      <c r="B129" s="39" t="s">
        <v>819</v>
      </c>
      <c r="C129" s="31"/>
      <c r="D129" s="31"/>
      <c r="E129" s="31"/>
      <c r="F129" s="32"/>
    </row>
    <row r="130" spans="1:6" ht="42" customHeight="1">
      <c r="A130" s="9" t="s">
        <v>747</v>
      </c>
      <c r="B130" s="38" t="s">
        <v>820</v>
      </c>
      <c r="C130" s="31"/>
      <c r="D130" s="31"/>
      <c r="E130" s="31"/>
      <c r="F130" s="32"/>
    </row>
    <row r="131" spans="1:6" ht="25.95" customHeight="1">
      <c r="A131" s="9" t="s">
        <v>749</v>
      </c>
      <c r="B131" s="38" t="s">
        <v>821</v>
      </c>
      <c r="C131" s="31"/>
      <c r="D131" s="31"/>
      <c r="E131" s="31"/>
      <c r="F131" s="32"/>
    </row>
    <row r="132" spans="1:6" ht="25.95" customHeight="1">
      <c r="A132" s="9" t="s">
        <v>751</v>
      </c>
      <c r="B132" s="38" t="s">
        <v>822</v>
      </c>
      <c r="C132" s="31"/>
      <c r="D132" s="31"/>
      <c r="E132" s="31"/>
      <c r="F132" s="32"/>
    </row>
    <row r="133" spans="1:6" ht="30" customHeight="1">
      <c r="A133" s="9" t="s">
        <v>753</v>
      </c>
      <c r="B133" s="38" t="s">
        <v>823</v>
      </c>
      <c r="C133" s="31"/>
      <c r="D133" s="31"/>
      <c r="E133" s="31"/>
      <c r="F133" s="32"/>
    </row>
    <row r="134" spans="1:6" ht="25.95" customHeight="1">
      <c r="A134" s="9" t="s">
        <v>755</v>
      </c>
      <c r="B134" s="38" t="s">
        <v>823</v>
      </c>
      <c r="C134" s="31"/>
      <c r="D134" s="31"/>
      <c r="E134" s="31"/>
      <c r="F134" s="32"/>
    </row>
    <row r="135" spans="1:6" ht="30" customHeight="1">
      <c r="A135" s="9" t="s">
        <v>757</v>
      </c>
      <c r="B135" s="38" t="s">
        <v>808</v>
      </c>
      <c r="C135" s="31"/>
      <c r="D135" s="31"/>
      <c r="E135" s="31"/>
      <c r="F135" s="32"/>
    </row>
    <row r="136" spans="1:6" ht="37.950000000000003" customHeight="1">
      <c r="A136" s="9" t="s">
        <v>759</v>
      </c>
      <c r="B136" s="38" t="s">
        <v>824</v>
      </c>
      <c r="C136" s="31"/>
      <c r="D136" s="31"/>
      <c r="E136" s="31"/>
      <c r="F136" s="32"/>
    </row>
    <row r="137" spans="1:6" ht="37.950000000000003" customHeight="1">
      <c r="A137" s="9" t="s">
        <v>759</v>
      </c>
      <c r="B137" s="38" t="s">
        <v>825</v>
      </c>
      <c r="C137" s="31"/>
      <c r="D137" s="31"/>
      <c r="E137" s="31"/>
      <c r="F137" s="32"/>
    </row>
    <row r="138" spans="1:6" ht="37.950000000000003" customHeight="1">
      <c r="A138" s="9" t="s">
        <v>759</v>
      </c>
      <c r="B138" s="38" t="s">
        <v>826</v>
      </c>
      <c r="C138" s="31"/>
      <c r="D138" s="31"/>
      <c r="E138" s="31"/>
      <c r="F138" s="32"/>
    </row>
    <row r="139" spans="1:6" ht="37.950000000000003" customHeight="1">
      <c r="A139" s="9" t="s">
        <v>759</v>
      </c>
      <c r="B139" s="38" t="s">
        <v>827</v>
      </c>
      <c r="C139" s="31"/>
      <c r="D139" s="31"/>
      <c r="E139" s="31"/>
      <c r="F139" s="32"/>
    </row>
    <row r="140" spans="1:6" ht="43.95" customHeight="1">
      <c r="A140" s="9" t="s">
        <v>764</v>
      </c>
      <c r="B140" s="38" t="s">
        <v>828</v>
      </c>
      <c r="C140" s="31"/>
      <c r="D140" s="31"/>
      <c r="E140" s="31"/>
      <c r="F140" s="32"/>
    </row>
    <row r="141" spans="1:6" ht="30" customHeight="1">
      <c r="A141" s="9" t="s">
        <v>766</v>
      </c>
      <c r="B141" s="38" t="s">
        <v>829</v>
      </c>
      <c r="C141" s="31"/>
      <c r="D141" s="31"/>
      <c r="E141" s="31"/>
      <c r="F141" s="32"/>
    </row>
    <row r="142" spans="1:6" ht="78" customHeight="1">
      <c r="A142" s="9" t="s">
        <v>768</v>
      </c>
      <c r="B142" s="38" t="s">
        <v>815</v>
      </c>
      <c r="C142" s="31"/>
      <c r="D142" s="31"/>
      <c r="E142" s="31"/>
      <c r="F142" s="32"/>
    </row>
    <row r="143" spans="1:6" ht="52.05" customHeight="1">
      <c r="A143" s="9" t="s">
        <v>770</v>
      </c>
      <c r="B143" s="38" t="s">
        <v>816</v>
      </c>
      <c r="C143" s="31"/>
      <c r="D143" s="31"/>
      <c r="E143" s="31"/>
      <c r="F143" s="32"/>
    </row>
    <row r="144" spans="1:6" ht="43.95" customHeight="1">
      <c r="A144" s="9" t="s">
        <v>772</v>
      </c>
      <c r="B144" s="38" t="s">
        <v>773</v>
      </c>
      <c r="C144" s="31"/>
      <c r="D144" s="31"/>
      <c r="E144" s="31"/>
      <c r="F144" s="32"/>
    </row>
    <row r="145" spans="1:6" ht="48" customHeight="1">
      <c r="A145" s="9" t="s">
        <v>774</v>
      </c>
      <c r="B145" s="38" t="s">
        <v>830</v>
      </c>
      <c r="C145" s="31"/>
      <c r="D145" s="31"/>
      <c r="E145" s="31"/>
      <c r="F145" s="32"/>
    </row>
  </sheetData>
  <mergeCells count="93">
    <mergeCell ref="B132:F132"/>
    <mergeCell ref="B119:F119"/>
    <mergeCell ref="A52:F52"/>
    <mergeCell ref="B69:F69"/>
    <mergeCell ref="B103:F103"/>
    <mergeCell ref="B78:F78"/>
    <mergeCell ref="B112:F112"/>
    <mergeCell ref="B55:F55"/>
    <mergeCell ref="B64:F64"/>
    <mergeCell ref="B95:F95"/>
    <mergeCell ref="B104:F104"/>
    <mergeCell ref="B79:F79"/>
    <mergeCell ref="B97:F97"/>
    <mergeCell ref="B145:F145"/>
    <mergeCell ref="A109:F109"/>
    <mergeCell ref="B73:F73"/>
    <mergeCell ref="B87:F87"/>
    <mergeCell ref="B137:F137"/>
    <mergeCell ref="B139:F139"/>
    <mergeCell ref="B114:F114"/>
    <mergeCell ref="B123:F123"/>
    <mergeCell ref="B110:F110"/>
    <mergeCell ref="B138:F138"/>
    <mergeCell ref="B113:F113"/>
    <mergeCell ref="B91:F91"/>
    <mergeCell ref="A128:F128"/>
    <mergeCell ref="B100:F100"/>
    <mergeCell ref="B140:F140"/>
    <mergeCell ref="B115:F115"/>
    <mergeCell ref="A2:F2"/>
    <mergeCell ref="B111:F111"/>
    <mergeCell ref="B120:F120"/>
    <mergeCell ref="B98:F98"/>
    <mergeCell ref="B107:F107"/>
    <mergeCell ref="B57:F57"/>
    <mergeCell ref="B88:F88"/>
    <mergeCell ref="B82:F82"/>
    <mergeCell ref="B99:F99"/>
    <mergeCell ref="B74:F74"/>
    <mergeCell ref="B68:F68"/>
    <mergeCell ref="B83:F83"/>
    <mergeCell ref="B76:F76"/>
    <mergeCell ref="B85:F85"/>
    <mergeCell ref="B75:F75"/>
    <mergeCell ref="A90:F90"/>
    <mergeCell ref="B144:F144"/>
    <mergeCell ref="B54:F54"/>
    <mergeCell ref="B125:F125"/>
    <mergeCell ref="B72:F72"/>
    <mergeCell ref="B134:F134"/>
    <mergeCell ref="B121:F121"/>
    <mergeCell ref="B56:F56"/>
    <mergeCell ref="B96:F96"/>
    <mergeCell ref="B105:F105"/>
    <mergeCell ref="B124:F124"/>
    <mergeCell ref="B126:F126"/>
    <mergeCell ref="B62:F62"/>
    <mergeCell ref="B141:F141"/>
    <mergeCell ref="B59:F59"/>
    <mergeCell ref="A71:F71"/>
    <mergeCell ref="B136:F136"/>
    <mergeCell ref="B143:F143"/>
    <mergeCell ref="B118:F118"/>
    <mergeCell ref="B92:F92"/>
    <mergeCell ref="A51:F51"/>
    <mergeCell ref="B133:F133"/>
    <mergeCell ref="B142:F142"/>
    <mergeCell ref="B80:F80"/>
    <mergeCell ref="B94:F94"/>
    <mergeCell ref="B135:F135"/>
    <mergeCell ref="B65:F65"/>
    <mergeCell ref="B63:F63"/>
    <mergeCell ref="B66:F66"/>
    <mergeCell ref="B93:F93"/>
    <mergeCell ref="B102:F102"/>
    <mergeCell ref="B130:F130"/>
    <mergeCell ref="B77:F77"/>
    <mergeCell ref="B58:F58"/>
    <mergeCell ref="A32:F32"/>
    <mergeCell ref="B60:F60"/>
    <mergeCell ref="B53:F53"/>
    <mergeCell ref="B116:F116"/>
    <mergeCell ref="B84:F84"/>
    <mergeCell ref="B86:F86"/>
    <mergeCell ref="B67:F67"/>
    <mergeCell ref="B61:F61"/>
    <mergeCell ref="B101:F101"/>
    <mergeCell ref="B106:F106"/>
    <mergeCell ref="B129:F129"/>
    <mergeCell ref="B81:F81"/>
    <mergeCell ref="B122:F122"/>
    <mergeCell ref="B131:F131"/>
    <mergeCell ref="B117:F117"/>
  </mergeCells>
  <hyperlinks>
    <hyperlink ref="B25" r:id="rId1" xr:uid="{00000000-0004-0000-0600-000000000000}"/>
    <hyperlink ref="B26" r:id="rId2" xr:uid="{00000000-0004-0000-0600-000001000000}"/>
    <hyperlink ref="B27" r:id="rId3" xr:uid="{00000000-0004-0000-0600-000002000000}"/>
    <hyperlink ref="B28" r:id="rId4" xr:uid="{00000000-0004-0000-0600-000003000000}"/>
    <hyperlink ref="B29" r:id="rId5" xr:uid="{00000000-0004-0000-0600-000004000000}"/>
    <hyperlink ref="B30" r:id="rId6" xr:uid="{00000000-0004-0000-0600-000005000000}"/>
    <hyperlink ref="B49" r:id="rId7" xr:uid="{00000000-0004-0000-0600-000006000000}"/>
    <hyperlink ref="B53" r:id="rId8" xr:uid="{00000000-0004-0000-0600-000007000000}"/>
    <hyperlink ref="B72" r:id="rId9" xr:uid="{00000000-0004-0000-0600-000008000000}"/>
    <hyperlink ref="B91" r:id="rId10" xr:uid="{00000000-0004-0000-0600-000009000000}"/>
    <hyperlink ref="B110" r:id="rId11" xr:uid="{00000000-0004-0000-0600-00000A000000}"/>
    <hyperlink ref="B129" r:id="rId12" xr:uid="{00000000-0004-0000-0600-00000B000000}"/>
  </hyperlinks>
  <pageMargins left="0.35" right="0.35" top="0.75" bottom="0.75" header="0.3" footer="0.3"/>
  <pageSetup paperSize="8" fitToHeight="0" orientation="landscape"/>
  <rowBreaks count="5" manualBreakCount="5">
    <brk id="50" max="16383" man="1"/>
    <brk id="70" max="16383" man="1"/>
    <brk id="89" max="16383" man="1"/>
    <brk id="108" max="16383" man="1"/>
    <brk id="127"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20"/>
  <sheetViews>
    <sheetView showGridLines="0" workbookViewId="0">
      <pane ySplit="4" topLeftCell="A5" activePane="bottomLeft" state="frozen"/>
      <selection pane="bottomLeft"/>
    </sheetView>
  </sheetViews>
  <sheetFormatPr defaultRowHeight="13.8"/>
  <cols>
    <col min="1" max="1" width="9" customWidth="1"/>
    <col min="2" max="2" width="28" customWidth="1"/>
    <col min="3" max="3" width="70" customWidth="1"/>
    <col min="4" max="4" width="62" customWidth="1"/>
    <col min="5" max="5" width="38" customWidth="1"/>
    <col min="6" max="6" width="20" customWidth="1"/>
  </cols>
  <sheetData>
    <row r="1" spans="1:6">
      <c r="A1" s="1"/>
      <c r="B1" s="1"/>
      <c r="C1" s="1"/>
      <c r="D1" s="1"/>
      <c r="E1" s="1"/>
      <c r="F1" s="1"/>
    </row>
    <row r="2" spans="1:6" ht="42" customHeight="1">
      <c r="A2" s="23" t="s">
        <v>831</v>
      </c>
      <c r="B2" s="24"/>
      <c r="C2" s="24"/>
      <c r="D2" s="24"/>
      <c r="E2" s="24"/>
      <c r="F2" s="24"/>
    </row>
    <row r="3" spans="1:6">
      <c r="A3" s="1"/>
      <c r="B3" s="1"/>
      <c r="C3" s="1"/>
      <c r="D3" s="1"/>
      <c r="E3" s="1"/>
      <c r="F3" s="1"/>
    </row>
    <row r="4" spans="1:6">
      <c r="A4" s="8" t="s">
        <v>48</v>
      </c>
      <c r="B4" s="8" t="s">
        <v>832</v>
      </c>
      <c r="C4" s="8" t="s">
        <v>833</v>
      </c>
      <c r="D4" s="8" t="s">
        <v>834</v>
      </c>
      <c r="E4" s="8" t="s">
        <v>835</v>
      </c>
      <c r="F4" s="8" t="s">
        <v>836</v>
      </c>
    </row>
    <row r="5" spans="1:6" ht="103.95" customHeight="1">
      <c r="A5" s="9">
        <v>1</v>
      </c>
      <c r="B5" s="9" t="s">
        <v>837</v>
      </c>
      <c r="C5" s="9" t="s">
        <v>838</v>
      </c>
      <c r="D5" s="9" t="s">
        <v>839</v>
      </c>
      <c r="E5" s="9" t="s">
        <v>840</v>
      </c>
      <c r="F5" s="9" t="s">
        <v>841</v>
      </c>
    </row>
    <row r="6" spans="1:6" ht="103.95" customHeight="1">
      <c r="A6" s="9">
        <v>2</v>
      </c>
      <c r="B6" s="9" t="s">
        <v>842</v>
      </c>
      <c r="C6" s="9" t="s">
        <v>843</v>
      </c>
      <c r="D6" s="9" t="s">
        <v>844</v>
      </c>
      <c r="E6" s="9" t="s">
        <v>845</v>
      </c>
      <c r="F6" s="9" t="s">
        <v>846</v>
      </c>
    </row>
    <row r="7" spans="1:6" ht="103.95" customHeight="1">
      <c r="A7" s="9">
        <v>3</v>
      </c>
      <c r="B7" s="9" t="s">
        <v>847</v>
      </c>
      <c r="C7" s="9" t="s">
        <v>848</v>
      </c>
      <c r="D7" s="9" t="s">
        <v>849</v>
      </c>
      <c r="E7" s="9" t="s">
        <v>850</v>
      </c>
      <c r="F7" s="9" t="s">
        <v>841</v>
      </c>
    </row>
    <row r="8" spans="1:6" ht="103.95" customHeight="1">
      <c r="A8" s="9">
        <v>4</v>
      </c>
      <c r="B8" s="9" t="s">
        <v>851</v>
      </c>
      <c r="C8" s="9" t="s">
        <v>852</v>
      </c>
      <c r="D8" s="9" t="s">
        <v>853</v>
      </c>
      <c r="E8" s="9" t="s">
        <v>854</v>
      </c>
      <c r="F8" s="9" t="s">
        <v>855</v>
      </c>
    </row>
    <row r="9" spans="1:6" ht="103.95" customHeight="1">
      <c r="A9" s="9">
        <v>5</v>
      </c>
      <c r="B9" s="9" t="s">
        <v>856</v>
      </c>
      <c r="C9" s="9" t="s">
        <v>857</v>
      </c>
      <c r="D9" s="9" t="s">
        <v>858</v>
      </c>
      <c r="E9" s="9" t="s">
        <v>859</v>
      </c>
      <c r="F9" s="9" t="s">
        <v>860</v>
      </c>
    </row>
    <row r="10" spans="1:6" ht="103.95" customHeight="1">
      <c r="A10" s="9">
        <v>6</v>
      </c>
      <c r="B10" s="9" t="s">
        <v>861</v>
      </c>
      <c r="C10" s="9" t="s">
        <v>862</v>
      </c>
      <c r="D10" s="9" t="s">
        <v>863</v>
      </c>
      <c r="E10" s="9" t="s">
        <v>864</v>
      </c>
      <c r="F10" s="9" t="s">
        <v>865</v>
      </c>
    </row>
    <row r="11" spans="1:6" ht="103.95" customHeight="1">
      <c r="A11" s="9">
        <v>7</v>
      </c>
      <c r="B11" s="9" t="s">
        <v>866</v>
      </c>
      <c r="C11" s="9" t="s">
        <v>867</v>
      </c>
      <c r="D11" s="9" t="s">
        <v>868</v>
      </c>
      <c r="E11" s="9" t="s">
        <v>869</v>
      </c>
      <c r="F11" s="9" t="s">
        <v>841</v>
      </c>
    </row>
    <row r="12" spans="1:6" ht="103.95" customHeight="1">
      <c r="A12" s="9">
        <v>8</v>
      </c>
      <c r="B12" s="9" t="s">
        <v>870</v>
      </c>
      <c r="C12" s="9" t="s">
        <v>871</v>
      </c>
      <c r="D12" s="9" t="s">
        <v>872</v>
      </c>
      <c r="E12" s="9" t="s">
        <v>873</v>
      </c>
      <c r="F12" s="9" t="s">
        <v>874</v>
      </c>
    </row>
    <row r="13" spans="1:6" ht="150" customHeight="1">
      <c r="A13" s="9">
        <v>9</v>
      </c>
      <c r="B13" s="9" t="s">
        <v>772</v>
      </c>
      <c r="C13" s="9" t="s">
        <v>875</v>
      </c>
      <c r="D13" s="9" t="s">
        <v>717</v>
      </c>
      <c r="E13" s="9" t="s">
        <v>876</v>
      </c>
      <c r="F13" s="9" t="s">
        <v>877</v>
      </c>
    </row>
    <row r="14" spans="1:6" ht="103.95" customHeight="1">
      <c r="A14" s="9">
        <v>10</v>
      </c>
      <c r="B14" s="9" t="s">
        <v>878</v>
      </c>
      <c r="C14" s="9" t="s">
        <v>879</v>
      </c>
      <c r="D14" s="9" t="s">
        <v>880</v>
      </c>
      <c r="E14" s="9" t="s">
        <v>881</v>
      </c>
      <c r="F14" s="9" t="s">
        <v>882</v>
      </c>
    </row>
    <row r="15" spans="1:6">
      <c r="A15" s="1"/>
      <c r="B15" s="1"/>
      <c r="C15" s="1"/>
      <c r="D15" s="1"/>
      <c r="E15" s="1"/>
      <c r="F15" s="1"/>
    </row>
    <row r="16" spans="1:6">
      <c r="A16" s="1"/>
      <c r="B16" s="1"/>
      <c r="C16" s="1"/>
      <c r="D16" s="1"/>
      <c r="E16" s="1"/>
      <c r="F16" s="1"/>
    </row>
    <row r="17" spans="1:6" ht="78" customHeight="1">
      <c r="A17" s="41" t="s">
        <v>883</v>
      </c>
      <c r="B17" s="31"/>
      <c r="C17" s="31"/>
      <c r="D17" s="31"/>
      <c r="E17" s="31"/>
      <c r="F17" s="32"/>
    </row>
    <row r="18" spans="1:6">
      <c r="A18" s="1"/>
      <c r="B18" s="1"/>
      <c r="C18" s="1"/>
      <c r="D18" s="1"/>
      <c r="E18" s="1"/>
      <c r="F18" s="1"/>
    </row>
    <row r="19" spans="1:6">
      <c r="A19" s="1"/>
      <c r="B19" s="1"/>
      <c r="C19" s="1"/>
      <c r="D19" s="1"/>
      <c r="E19" s="1"/>
      <c r="F19" s="1"/>
    </row>
    <row r="20" spans="1:6">
      <c r="A20" s="1"/>
      <c r="B20" s="1"/>
      <c r="C20" s="1"/>
      <c r="D20" s="1"/>
      <c r="E20" s="1"/>
      <c r="F20" s="1"/>
    </row>
  </sheetData>
  <mergeCells count="2">
    <mergeCell ref="A2:F2"/>
    <mergeCell ref="A17:F17"/>
  </mergeCells>
  <pageMargins left="0.7" right="0.7" top="0.75" bottom="0.75" header="0.3" footer="0.3"/>
  <pageSetup paperSize="8"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I24"/>
  <sheetViews>
    <sheetView showGridLines="0" workbookViewId="0">
      <pane xSplit="3" ySplit="9" topLeftCell="D10" activePane="bottomRight" state="frozen"/>
      <selection pane="topRight"/>
      <selection pane="bottomLeft"/>
      <selection pane="bottomRight"/>
    </sheetView>
  </sheetViews>
  <sheetFormatPr defaultRowHeight="13.8"/>
  <cols>
    <col min="1" max="1" width="3" customWidth="1"/>
    <col min="2" max="2" width="7" customWidth="1"/>
    <col min="3" max="3" width="28" customWidth="1"/>
    <col min="4" max="5" width="15" customWidth="1"/>
    <col min="6" max="6" width="17" customWidth="1"/>
    <col min="7" max="8" width="15" customWidth="1"/>
    <col min="9" max="9" width="16" customWidth="1"/>
  </cols>
  <sheetData>
    <row r="1" spans="2:9" ht="42" customHeight="1">
      <c r="B1" s="23" t="s">
        <v>884</v>
      </c>
      <c r="C1" s="24"/>
      <c r="D1" s="24"/>
      <c r="E1" s="24"/>
      <c r="F1" s="24"/>
      <c r="G1" s="24"/>
      <c r="H1" s="24"/>
      <c r="I1" s="24"/>
    </row>
    <row r="2" spans="2:9">
      <c r="B2" s="1"/>
      <c r="C2" s="1"/>
      <c r="D2" s="1"/>
      <c r="E2" s="1"/>
      <c r="F2" s="1"/>
      <c r="G2" s="1"/>
      <c r="H2" s="1"/>
      <c r="I2" s="1"/>
    </row>
    <row r="3" spans="2:9">
      <c r="B3" s="25" t="s">
        <v>1</v>
      </c>
      <c r="C3" s="32"/>
      <c r="D3" s="25" t="str">
        <f>Cover!C4</f>
        <v>OrangeHRM – Kiểm thử phân hệ Leave</v>
      </c>
      <c r="E3" s="31"/>
      <c r="F3" s="31"/>
      <c r="G3" s="31"/>
      <c r="H3" s="31"/>
      <c r="I3" s="32"/>
    </row>
    <row r="4" spans="2:9">
      <c r="B4" s="25" t="s">
        <v>9</v>
      </c>
      <c r="C4" s="32"/>
      <c r="D4" s="25" t="str">
        <f>Cover!C6</f>
        <v>Group01_22130254_CaoTienThanh</v>
      </c>
      <c r="E4" s="31"/>
      <c r="F4" s="31"/>
      <c r="G4" s="31"/>
      <c r="H4" s="31"/>
      <c r="I4" s="32"/>
    </row>
    <row r="5" spans="2:9">
      <c r="B5" s="25" t="s">
        <v>885</v>
      </c>
      <c r="C5" s="32"/>
      <c r="D5" s="43" t="s">
        <v>886</v>
      </c>
      <c r="E5" s="31"/>
      <c r="F5" s="32"/>
      <c r="G5" s="44" t="s">
        <v>887</v>
      </c>
      <c r="H5" s="31"/>
      <c r="I5" s="32"/>
    </row>
    <row r="6" spans="2:9">
      <c r="B6" s="25" t="s">
        <v>888</v>
      </c>
      <c r="C6" s="32"/>
      <c r="D6" s="43" t="s">
        <v>47</v>
      </c>
      <c r="E6" s="31"/>
      <c r="F6" s="31"/>
      <c r="G6" s="31"/>
      <c r="H6" s="31"/>
      <c r="I6" s="32"/>
    </row>
    <row r="7" spans="2:9" ht="58.05" customHeight="1">
      <c r="B7" s="25" t="s">
        <v>889</v>
      </c>
      <c r="C7" s="32"/>
      <c r="D7" s="43" t="s">
        <v>890</v>
      </c>
      <c r="E7" s="31"/>
      <c r="F7" s="31"/>
      <c r="G7" s="31"/>
      <c r="H7" s="31"/>
      <c r="I7" s="32"/>
    </row>
    <row r="8" spans="2:9">
      <c r="B8" s="1"/>
      <c r="C8" s="1"/>
      <c r="D8" s="1"/>
      <c r="E8" s="1"/>
      <c r="F8" s="1"/>
      <c r="G8" s="1"/>
      <c r="H8" s="1"/>
      <c r="I8" s="1"/>
    </row>
    <row r="9" spans="2:9" ht="31.95" customHeight="1">
      <c r="B9" s="8" t="s">
        <v>48</v>
      </c>
      <c r="C9" s="8" t="s">
        <v>129</v>
      </c>
      <c r="D9" s="8" t="s">
        <v>133</v>
      </c>
      <c r="E9" s="8" t="s">
        <v>134</v>
      </c>
      <c r="F9" s="8" t="s">
        <v>135</v>
      </c>
      <c r="G9" s="8" t="s">
        <v>136</v>
      </c>
      <c r="H9" s="8" t="s">
        <v>137</v>
      </c>
      <c r="I9" s="8" t="s">
        <v>891</v>
      </c>
    </row>
    <row r="10" spans="2:9" ht="30" customHeight="1">
      <c r="B10" s="6">
        <v>1</v>
      </c>
      <c r="C10" s="6" t="s">
        <v>54</v>
      </c>
      <c r="D10" s="6">
        <f>LEAVE_CONFIG!A6</f>
        <v>25</v>
      </c>
      <c r="E10" s="6">
        <f>LEAVE_CONFIG!B6</f>
        <v>0</v>
      </c>
      <c r="F10" s="6">
        <f>LEAVE_CONFIG!C6</f>
        <v>0</v>
      </c>
      <c r="G10" s="6">
        <f>LEAVE_CONFIG!D6</f>
        <v>0</v>
      </c>
      <c r="H10" s="6">
        <f>LEAVE_CONFIG!E6</f>
        <v>0</v>
      </c>
      <c r="I10" s="6">
        <f>LEAVE_CONFIG!F6</f>
        <v>25</v>
      </c>
    </row>
    <row r="11" spans="2:9" ht="30" customHeight="1">
      <c r="B11" s="6">
        <v>2</v>
      </c>
      <c r="C11" s="6" t="s">
        <v>58</v>
      </c>
      <c r="D11" s="6">
        <f>LEAVE_SELF!A6</f>
        <v>25</v>
      </c>
      <c r="E11" s="6">
        <f>LEAVE_SELF!B6</f>
        <v>0</v>
      </c>
      <c r="F11" s="6">
        <f>LEAVE_SELF!C6</f>
        <v>0</v>
      </c>
      <c r="G11" s="6">
        <f>LEAVE_SELF!D6</f>
        <v>0</v>
      </c>
      <c r="H11" s="6">
        <f>LEAVE_SELF!E6</f>
        <v>0</v>
      </c>
      <c r="I11" s="6">
        <f>LEAVE_SELF!F6</f>
        <v>25</v>
      </c>
    </row>
    <row r="12" spans="2:9" ht="30" customHeight="1">
      <c r="B12" s="6">
        <v>3</v>
      </c>
      <c r="C12" s="6" t="s">
        <v>62</v>
      </c>
      <c r="D12" s="6">
        <f>LEAVE_ADMIN!A6</f>
        <v>24</v>
      </c>
      <c r="E12" s="6">
        <f>LEAVE_ADMIN!B6</f>
        <v>1</v>
      </c>
      <c r="F12" s="6">
        <f>LEAVE_ADMIN!C6</f>
        <v>0</v>
      </c>
      <c r="G12" s="6">
        <f>LEAVE_ADMIN!D6</f>
        <v>0</v>
      </c>
      <c r="H12" s="6">
        <f>LEAVE_ADMIN!E6</f>
        <v>0</v>
      </c>
      <c r="I12" s="6">
        <f>LEAVE_ADMIN!F6</f>
        <v>25</v>
      </c>
    </row>
    <row r="13" spans="2:9">
      <c r="B13" s="1"/>
      <c r="C13" s="1"/>
      <c r="D13" s="1"/>
      <c r="E13" s="1"/>
      <c r="F13" s="1"/>
      <c r="G13" s="1"/>
      <c r="H13" s="1"/>
      <c r="I13" s="1"/>
    </row>
    <row r="14" spans="2:9">
      <c r="B14" s="46" t="s">
        <v>891</v>
      </c>
      <c r="C14" s="32"/>
      <c r="D14" s="18">
        <f t="shared" ref="D14:I14" si="0">SUM(D10:D12)</f>
        <v>74</v>
      </c>
      <c r="E14" s="18">
        <f t="shared" si="0"/>
        <v>1</v>
      </c>
      <c r="F14" s="18">
        <f t="shared" si="0"/>
        <v>0</v>
      </c>
      <c r="G14" s="18">
        <f t="shared" si="0"/>
        <v>0</v>
      </c>
      <c r="H14" s="18">
        <f t="shared" si="0"/>
        <v>0</v>
      </c>
      <c r="I14" s="18">
        <f t="shared" si="0"/>
        <v>75</v>
      </c>
    </row>
    <row r="15" spans="2:9">
      <c r="B15" s="1"/>
      <c r="C15" s="1"/>
      <c r="D15" s="1"/>
      <c r="E15" s="1"/>
      <c r="F15" s="1"/>
      <c r="G15" s="1"/>
      <c r="H15" s="1"/>
      <c r="I15" s="1"/>
    </row>
    <row r="16" spans="2:9">
      <c r="B16" s="1"/>
      <c r="C16" s="1"/>
      <c r="D16" s="1"/>
      <c r="E16" s="1"/>
      <c r="F16" s="1"/>
      <c r="G16" s="1"/>
      <c r="H16" s="1"/>
      <c r="I16" s="1"/>
    </row>
    <row r="17" spans="2:9">
      <c r="B17" s="25" t="s">
        <v>892</v>
      </c>
      <c r="C17" s="31"/>
      <c r="D17" s="32"/>
      <c r="E17" s="42">
        <f>IF(I14=0,"",(D14+E14)/I14)</f>
        <v>1</v>
      </c>
      <c r="F17" s="32"/>
      <c r="G17" s="1"/>
      <c r="H17" s="1"/>
      <c r="I17" s="1"/>
    </row>
    <row r="18" spans="2:9">
      <c r="B18" s="25" t="s">
        <v>893</v>
      </c>
      <c r="C18" s="31"/>
      <c r="D18" s="32"/>
      <c r="E18" s="42">
        <f>IF(D14+E14=0,"Chưa thực thi",D14/(D14+E14))</f>
        <v>0.98666666666666669</v>
      </c>
      <c r="F18" s="32"/>
      <c r="G18" s="1"/>
      <c r="H18" s="1"/>
      <c r="I18" s="1"/>
    </row>
    <row r="19" spans="2:9">
      <c r="B19" s="25" t="s">
        <v>856</v>
      </c>
      <c r="C19" s="31"/>
      <c r="D19" s="32"/>
      <c r="E19" s="45">
        <v>1</v>
      </c>
      <c r="F19" s="32"/>
      <c r="G19" s="1"/>
      <c r="H19" s="1"/>
      <c r="I19" s="1"/>
    </row>
    <row r="20" spans="2:9" ht="40.049999999999997" customHeight="1">
      <c r="B20" s="25" t="s">
        <v>894</v>
      </c>
      <c r="C20" s="31"/>
      <c r="D20" s="31"/>
      <c r="E20" s="31"/>
      <c r="F20" s="31"/>
      <c r="G20" s="31"/>
      <c r="H20" s="31"/>
      <c r="I20" s="32"/>
    </row>
    <row r="21" spans="2:9">
      <c r="B21" s="1"/>
      <c r="C21" s="1"/>
      <c r="D21" s="1"/>
      <c r="E21" s="1"/>
      <c r="F21" s="1"/>
      <c r="G21" s="1"/>
      <c r="H21" s="1"/>
      <c r="I21" s="1"/>
    </row>
    <row r="22" spans="2:9" ht="138" customHeight="1">
      <c r="B22" s="25" t="s">
        <v>895</v>
      </c>
      <c r="C22" s="31"/>
      <c r="D22" s="31"/>
      <c r="E22" s="31"/>
      <c r="F22" s="31"/>
      <c r="G22" s="31"/>
      <c r="H22" s="31"/>
      <c r="I22" s="32"/>
    </row>
    <row r="23" spans="2:9">
      <c r="B23" s="1"/>
      <c r="C23" s="1"/>
      <c r="D23" s="1"/>
      <c r="E23" s="1"/>
      <c r="F23" s="1"/>
      <c r="G23" s="1"/>
      <c r="H23" s="1"/>
      <c r="I23" s="1"/>
    </row>
    <row r="24" spans="2:9" ht="30" customHeight="1">
      <c r="B24" s="25" t="s">
        <v>896</v>
      </c>
      <c r="C24" s="32"/>
      <c r="D24" s="43" t="s">
        <v>897</v>
      </c>
      <c r="E24" s="31"/>
      <c r="F24" s="31"/>
      <c r="G24" s="31"/>
      <c r="H24" s="31"/>
      <c r="I24" s="32"/>
    </row>
  </sheetData>
  <mergeCells count="23">
    <mergeCell ref="B1:I1"/>
    <mergeCell ref="D24:I24"/>
    <mergeCell ref="D5:F5"/>
    <mergeCell ref="B6:C6"/>
    <mergeCell ref="B24:C24"/>
    <mergeCell ref="B5:C5"/>
    <mergeCell ref="B20:I20"/>
    <mergeCell ref="B18:D18"/>
    <mergeCell ref="D6:I6"/>
    <mergeCell ref="E18:F18"/>
    <mergeCell ref="B4:C4"/>
    <mergeCell ref="B7:C7"/>
    <mergeCell ref="B3:C3"/>
    <mergeCell ref="B17:D17"/>
    <mergeCell ref="B22:I22"/>
    <mergeCell ref="E17:F17"/>
    <mergeCell ref="D7:I7"/>
    <mergeCell ref="B19:D19"/>
    <mergeCell ref="G5:I5"/>
    <mergeCell ref="D4:I4"/>
    <mergeCell ref="E19:F19"/>
    <mergeCell ref="B14:C14"/>
    <mergeCell ref="D3:I3"/>
  </mergeCells>
  <hyperlinks>
    <hyperlink ref="C10" location="'LEAVE_CONFIG'!A9" display="LEAVE_CONFIG" xr:uid="{00000000-0004-0000-0800-000000000000}"/>
    <hyperlink ref="C11" location="'LEAVE_SELF'!A9" display="LEAVE_SELF" xr:uid="{00000000-0004-0000-0800-000001000000}"/>
    <hyperlink ref="C12" location="'LEAVE_ADMIN'!A9" display="LEAVE_ADMIN" xr:uid="{00000000-0004-0000-0800-000002000000}"/>
    <hyperlink ref="D24" r:id="rId1" xr:uid="{00000000-0004-0000-0800-000003000000}"/>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Cover</vt:lpstr>
      <vt:lpstr>Test case List</vt:lpstr>
      <vt:lpstr>TestDesign</vt:lpstr>
      <vt:lpstr>LEAVE_CONFIG</vt:lpstr>
      <vt:lpstr>LEAVE_SELF</vt:lpstr>
      <vt:lpstr>LEAVE_ADMIN</vt:lpstr>
      <vt:lpstr>Test Data</vt:lpstr>
      <vt:lpstr>Automation Plan</vt:lpstr>
      <vt:lpstr>Test Report</vt:lpstr>
      <vt:lpstr>'Automation Plan'!Print_Area</vt:lpstr>
      <vt:lpstr>Cover!Print_Area</vt:lpstr>
      <vt:lpstr>LEAVE_ADMIN!Print_Area</vt:lpstr>
      <vt:lpstr>LEAVE_CONFIG!Print_Area</vt:lpstr>
      <vt:lpstr>LEAVE_SELF!Print_Area</vt:lpstr>
      <vt:lpstr>'Test case List'!Print_Area</vt:lpstr>
      <vt:lpstr>'Test Data'!Print_Area</vt:lpstr>
      <vt:lpstr>'Test Report'!Print_Area</vt:lpstr>
      <vt:lpstr>TestDesign!Print_Area</vt:lpstr>
      <vt:lpstr>'Automation Plan'!Print_Titles</vt:lpstr>
      <vt:lpstr>LEAVE_ADMIN!Print_Titles</vt:lpstr>
      <vt:lpstr>LEAVE_CONFIG!Print_Titles</vt:lpstr>
      <vt:lpstr>LEAVE_SELF!Print_Titles</vt:lpstr>
      <vt:lpstr>'Test case List'!Print_Titles</vt:lpstr>
      <vt:lpstr>'Test Data'!Print_Titles</vt:lpstr>
      <vt:lpstr>TestDesign!Print_Titles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Group01_22130254_CaoTienThanh – Kiểm thử 3 nhóm Leave</dc:title>
  <dc:subject>Leave Types &amp; Entitlements; Apply Leave &amp; My Leave; Leave List &amp; Request Actions</dc:subject>
  <dc:creator>Cao Tiến Thành – 22130254</dc:creator>
  <dc:description>75 case, 25/module. Snapshot ASM7 15 Passed và60 Untested; bằng chứng Cypress UI/AAA và dependency được ghi rõ.</dc:description>
  <cp:lastModifiedBy>Cao Tiến Thành</cp:lastModifiedBy>
  <dcterms:created xsi:type="dcterms:W3CDTF">2026-10-21T08:33:55Z</dcterms:created>
  <dcterms:modified xsi:type="dcterms:W3CDTF">2026-10-25T17:50:33Z</dcterms:modified>
</cp:coreProperties>
</file>