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D976F7B-775C-4907-A886-7B2C8C160FD3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Cover" sheetId="1" r:id="rId1"/>
    <sheet name="Test case List" sheetId="2" r:id="rId2"/>
    <sheet name="TestDesign" sheetId="3" r:id="rId3"/>
    <sheet name="RECRUIT_VAC" sheetId="4" r:id="rId4"/>
    <sheet name="RECRUIT_CAND" sheetId="5" r:id="rId5"/>
    <sheet name="RECRUIT_FLOW" sheetId="6" r:id="rId6"/>
    <sheet name="Test Data" sheetId="7" r:id="rId7"/>
    <sheet name="Automation Plan" sheetId="8" r:id="rId8"/>
    <sheet name="Test Repo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D3" i="9"/>
  <c r="F6" i="6"/>
  <c r="I12" i="9" s="1"/>
  <c r="E6" i="6"/>
  <c r="H12" i="9" s="1"/>
  <c r="D6" i="6"/>
  <c r="G12" i="9" s="1"/>
  <c r="C6" i="6"/>
  <c r="F12" i="9" s="1"/>
  <c r="B6" i="6"/>
  <c r="E12" i="9" s="1"/>
  <c r="A6" i="6"/>
  <c r="D12" i="9" s="1"/>
  <c r="F6" i="5"/>
  <c r="I11" i="9" s="1"/>
  <c r="E6" i="5"/>
  <c r="H11" i="9" s="1"/>
  <c r="D6" i="5"/>
  <c r="G11" i="9" s="1"/>
  <c r="C6" i="5"/>
  <c r="F11" i="9" s="1"/>
  <c r="B6" i="5"/>
  <c r="E11" i="9" s="1"/>
  <c r="A6" i="5"/>
  <c r="D11" i="9" s="1"/>
  <c r="F6" i="4"/>
  <c r="I10" i="9" s="1"/>
  <c r="E6" i="4"/>
  <c r="H10" i="9" s="1"/>
  <c r="D6" i="4"/>
  <c r="G10" i="9" s="1"/>
  <c r="C6" i="4"/>
  <c r="F10" i="9" s="1"/>
  <c r="B6" i="4"/>
  <c r="E10" i="9" s="1"/>
  <c r="A6" i="4"/>
  <c r="D10" i="9" s="1"/>
  <c r="D5" i="2"/>
  <c r="D4" i="2"/>
  <c r="G14" i="9" l="1"/>
  <c r="H14" i="9"/>
  <c r="D14" i="9"/>
  <c r="I14" i="9"/>
  <c r="F14" i="9"/>
  <c r="E14" i="9"/>
  <c r="E17" i="9" l="1"/>
  <c r="E18" i="9"/>
</calcChain>
</file>

<file path=xl/sharedStrings.xml><?xml version="1.0" encoding="utf-8"?>
<sst xmlns="http://schemas.openxmlformats.org/spreadsheetml/2006/main" count="963" uniqueCount="676">
  <si>
    <t>TEST CASE</t>
  </si>
  <si>
    <t>Project Name</t>
  </si>
  <si>
    <t>Creator</t>
  </si>
  <si>
    <t>Project Code</t>
  </si>
  <si>
    <t>Group01_OrangeHRM</t>
  </si>
  <si>
    <t>Reviewer / Approver</t>
  </si>
  <si>
    <t>Document Code</t>
  </si>
  <si>
    <t>Issue Date</t>
  </si>
  <si>
    <t>Version</t>
  </si>
  <si>
    <t>1.0</t>
  </si>
  <si>
    <t>Record of change</t>
  </si>
  <si>
    <t>Effective Date</t>
  </si>
  <si>
    <t>Change Item</t>
  </si>
  <si>
    <t>A, D, M</t>
  </si>
  <si>
    <t>Change description</t>
  </si>
  <si>
    <t>Reference</t>
  </si>
  <si>
    <t>A</t>
  </si>
  <si>
    <t>ASM06 – Group01</t>
  </si>
  <si>
    <t>Student ID</t>
  </si>
  <si>
    <t>Group</t>
  </si>
  <si>
    <t>Group01</t>
  </si>
  <si>
    <t>Role</t>
  </si>
  <si>
    <t>Website</t>
  </si>
  <si>
    <t>https://opensource-demo.orangehrmlive.com/</t>
  </si>
  <si>
    <t>Automation tool</t>
  </si>
  <si>
    <t>Scope</t>
  </si>
  <si>
    <t>TEST CASE LIST</t>
  </si>
  <si>
    <t>Test Environment</t>
  </si>
  <si>
    <t>No.</t>
  </si>
  <si>
    <t>Function Name</t>
  </si>
  <si>
    <t>Sheet Name</t>
  </si>
  <si>
    <t>Description</t>
  </si>
  <si>
    <t>Pre-condition</t>
  </si>
  <si>
    <t>PIM_EMP</t>
  </si>
  <si>
    <t>PIM_PERSONAL</t>
  </si>
  <si>
    <t>PIM_JOB</t>
  </si>
  <si>
    <t>Req Level 1</t>
  </si>
  <si>
    <t>Req Level 2</t>
  </si>
  <si>
    <t>Req Level 3</t>
  </si>
  <si>
    <t>Test Criteria</t>
  </si>
  <si>
    <t>Test Type</t>
  </si>
  <si>
    <t>Note</t>
  </si>
  <si>
    <t>Phân vùng tương đương</t>
  </si>
  <si>
    <t>Phân tích giá trị biên</t>
  </si>
  <si>
    <t>Module Code</t>
  </si>
  <si>
    <t>Test requirement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</si>
  <si>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</si>
  <si>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</si>
  <si>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</si>
  <si>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</si>
  <si>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</si>
  <si>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</si>
  <si>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</si>
  <si>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</si>
  <si>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</si>
  <si>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</si>
  <si>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</si>
  <si>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</si>
  <si>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</si>
  <si>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</si>
  <si>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Bỏ trống First Name</t>
  </si>
  <si>
    <t>Bỏ trống Last Name</t>
  </si>
  <si>
    <t>Data ID</t>
  </si>
  <si>
    <t>Giá trị / fixture</t>
  </si>
  <si>
    <t>Cách chuẩn bị</t>
  </si>
  <si>
    <t>Sử dụng</t>
  </si>
  <si>
    <t>Dọn dẹp / khôi phục</t>
  </si>
  <si>
    <t>Quy tắc</t>
  </si>
  <si>
    <t>Toàn bộ 75 TC</t>
  </si>
  <si>
    <t>ACCOUNT</t>
  </si>
  <si>
    <t>Nguồn chính thức</t>
  </si>
  <si>
    <t>URL</t>
  </si>
  <si>
    <t>Nội dung đối chiếu</t>
  </si>
  <si>
    <t>AUTOMATION PLAN</t>
  </si>
  <si>
    <t>Giai đoạn</t>
  </si>
  <si>
    <t>Công việc</t>
  </si>
  <si>
    <t>Assertion / bằng chứng</t>
  </si>
  <si>
    <t>Phạm vi / điều kiện</t>
  </si>
  <si>
    <t>Trạng thái</t>
  </si>
  <si>
    <t>TEST REPORT</t>
  </si>
  <si>
    <t>Run ID / Date</t>
  </si>
  <si>
    <t>Browser / Version</t>
  </si>
  <si>
    <t>Total</t>
  </si>
  <si>
    <t>Execution coverage</t>
  </si>
  <si>
    <t>Pass rate (executed only)</t>
  </si>
  <si>
    <t>Execution coverage = (Passed + Failed) / Total. Pass rate = Passed / (Passed + Failed). Blocked và Skipped không được tính là đã thực thi.</t>
  </si>
  <si>
    <t>Sau run, điền actual result, Defect ID (nếu có), ảnh/log và ngày thực chạy tại sheet test case. Các tổng hợp tự cập nhật từ cột Result.</t>
  </si>
  <si>
    <t>Giảng viên Trần Thị Thanh Nga</t>
  </si>
  <si>
    <t>Nguyễn Văn Thắng</t>
  </si>
  <si>
    <t>Thành viên</t>
  </si>
  <si>
    <t>Recruitment test design</t>
  </si>
  <si>
    <t>75 case / 3 chức năng + Automation Plan</t>
  </si>
  <si>
    <t>Group01_23130299_NguyenVanThang</t>
  </si>
  <si>
    <t>OrangeHRM Recruitment</t>
  </si>
  <si>
    <t>Katalon Recorder (phần Recruitment của Nguyễn Văn Thắng)</t>
  </si>
  <si>
    <t>RECR_VAC, RECR_CAND, RECR_FLOW</t>
  </si>
  <si>
    <t>Vacancies</t>
  </si>
  <si>
    <t>Candidates</t>
  </si>
  <si>
    <t>Candidate Workflow &amp; Interviews</t>
  </si>
  <si>
    <t>RECRUIT_VAC</t>
  </si>
  <si>
    <t>RECR_VAC</t>
  </si>
  <si>
    <t>RECR_CAND</t>
  </si>
  <si>
    <t>RECR_FLOW</t>
  </si>
  <si>
    <t>Tạo vacancy, validation số lượng, Active/Publish, bộ lọc, sửa và hủy.</t>
  </si>
  <si>
    <t>Tạo hồ sơ, email/contact, CV, bộ lọc, sửa và đối chiếu dữ liệu.</t>
  </si>
  <si>
    <t>Shortlist/Reject, Schedule Interview, interviewer, nút hành động, Candidate History.</t>
  </si>
  <si>
    <t>Admin/Recruitment; JOB_A, MANAGER_A/B đang hiệu lực; tên fixture riêng.</t>
  </si>
  <si>
    <t>VAC_A tồn tại, CV test chuẩn bị trước, email example.com.</t>
  </si>
  <si>
    <t>Mỗi nhánh có candidate riêng đúng trạng thái; interviewers còn hiệu lực.</t>
  </si>
  <si>
    <t>Tạo và bắt buộc</t>
  </si>
  <si>
    <t>Tạo tối thiểu/đầy đủ; kiểm tra Job Title, Vacancy Name, Hiring Manager; tên chỉ có whitespace và autocomplete.</t>
  </si>
  <si>
    <t>Phân vùng tương đương / Autocomplete</t>
  </si>
  <si>
    <t>TD_RECRUIT_VAC_01
TC_RECRUIT_VAC_001, TC_RECRUIT_VAC_002, TC_RECRUIT_VAC_003, TC_RECRUIT_VAC_004, TC_RECRUIT_VAC_005, TC_RECRUIT_VAC_006, TC_RECRUIT_VAC_007</t>
  </si>
  <si>
    <t>Số vị trí tuyển</t>
  </si>
  <si>
    <t>Biên 0 và 1, số âm và dữ liệu không phải số; điều kiện cần xác nhận theo demo.</t>
  </si>
  <si>
    <t>TD_RECRUIT_VAC_02
TC_RECRUIT_VAC_008, TC_RECRUIT_VAC_009, TC_RECRUIT_VAC_010, TC_RECRUIT_VAC_011</t>
  </si>
  <si>
    <t>Active / Publish</t>
  </si>
  <si>
    <t>Phối hợp hai checkbox và lưu trạng thái qua các lần sửa.</t>
  </si>
  <si>
    <t>Chuyển trạng thái</t>
  </si>
  <si>
    <t>TD_RECRUIT_VAC_03
TC_RECRUIT_VAC_012, TC_RECRUIT_VAC_013, TC_RECRUIT_VAC_014, TC_RECRUIT_VAC_015</t>
  </si>
  <si>
    <t>Lọc / Reset danh sách</t>
  </si>
  <si>
    <t>Job Title, manager, name, AND 2 điều kiện, không có kết quả và Reset.</t>
  </si>
  <si>
    <t>Bảng quyết định / Phân vùng tương đương</t>
  </si>
  <si>
    <t>TD_RECRUIT_VAC_04
TC_RECRUIT_VAC_016, TC_RECRUIT_VAC_017, TC_RECRUIT_VAC_018, TC_RECRUIT_VAC_019, TC_RECRUIT_VAC_020, TC_RECRUIT_VAC_021</t>
  </si>
  <si>
    <t>Sửa / hủy</t>
  </si>
  <si>
    <t>Thay mô tả, số lượng, manager; Cancel tạo/sửa; đảm bảo baseline không đổi.</t>
  </si>
  <si>
    <t>TD_RECRUIT_VAC_05
TC_RECRUIT_VAC_022, TC_RECRUIT_VAC_023, TC_RECRUIT_VAC_024, TC_RECRUIT_VAC_025</t>
  </si>
  <si>
    <t>RECRUIT_CAND</t>
  </si>
  <si>
    <t>Tạo hồ sơ &amp; required</t>
  </si>
  <si>
    <t>Tên, email, vacancy, consent; 3 trường bắt buộc và dữ liệu tối thiểu/đầy đủ.</t>
  </si>
  <si>
    <t>TD_RECRUIT_CAND_01
TC_RECRUIT_CAND_001, TC_RECRUIT_CAND_002, TC_RECRUIT_CAND_003, TC_RECRUIT_CAND_004, TC_RECRUIT_CAND_005, TC_RECRUIT_CAND_006, TC_RECRUIT_CAND_007</t>
  </si>
  <si>
    <t>Email / contact</t>
  </si>
  <si>
    <t>Email hợp lệ/invalid; contact có và không hợp lệ; giữ số 0 đầu.</t>
  </si>
  <si>
    <t>TD_RECRUIT_CAND_02
TC_RECRUIT_CAND_008, TC_RECRUIT_CAND_009, TC_RECRUIT_CAND_010, TC_RECRUIT_CAND_011, TC_RECRUIT_CAND_012</t>
  </si>
  <si>
    <t>CV &amp; file upload</t>
  </si>
  <si>
    <t>PDF, DOCX, EXE, quá giới hạn và thao tác Cancel.</t>
  </si>
  <si>
    <t>Giá trị biên / Chuyển trạng thái</t>
  </si>
  <si>
    <t>TD_RECRUIT_CAND_03
TC_RECRUIT_CAND_013, TC_RECRUIT_CAND_014, TC_RECRUIT_CAND_015, TC_RECRUIT_CAND_016, TC_RECRUIT_CAND_017</t>
  </si>
  <si>
    <t>Lọc ứng viên / Reset</t>
  </si>
  <si>
    <t>Vacancy, Candidate Name, Keywords, Date Range với AND, Reset.</t>
  </si>
  <si>
    <t>TD_RECRUIT_CAND_04
TC_RECRUIT_CAND_018, TC_RECRUIT_CAND_019, TC_RECRUIT_CAND_020, TC_RECRUIT_CAND_021, TC_RECRUIT_CAND_022</t>
  </si>
  <si>
    <t>Sửa &amp; dữ liệu lưu</t>
  </si>
  <si>
    <t>Keywords/Notes, Cancel edit, đối chiếu hồ sơ sau reload.</t>
  </si>
  <si>
    <t>TD_RECRUIT_CAND_05
TC_RECRUIT_CAND_023, TC_RECRUIT_CAND_024, TC_RECRUIT_CAND_025</t>
  </si>
  <si>
    <t>RECRUIT_FLOW</t>
  </si>
  <si>
    <t>Khởi tạo, shortlist, reject</t>
  </si>
  <si>
    <t>Application Initiated→Shortlisted/Rejected; Reject từ Shortlisted; hủy Shortlist.</t>
  </si>
  <si>
    <t>TD_RECRUIT_FLOW_01
TC_RECRUIT_FLOW_001, TC_RECRUIT_FLOW_002, TC_RECRUIT_FLOW_003, TC_RECRUIT_FLOW_004, TC_RECRUIT_FLOW_005</t>
  </si>
  <si>
    <t>Lịch phỏng vấn / validation</t>
  </si>
  <si>
    <t>Schedule hợp lệ, Title/Interviewer/Date Required, ngày sai, giờ sai, Notes.</t>
  </si>
  <si>
    <t>Phân vùng tương đương / Biên</t>
  </si>
  <si>
    <t>TD_RECRUIT_FLOW_02
TC_RECRUIT_FLOW_006, TC_RECRUIT_FLOW_007, TC_RECRUIT_FLOW_008, TC_RECRUIT_FLOW_009, TC_RECRUIT_FLOW_010, TC_RECRUIT_FLOW_011, TC_RECRUIT_FLOW_012</t>
  </si>
  <si>
    <t>Interviewer</t>
  </si>
  <si>
    <t>Autocomplete, nhiều interviewer, tên nhân viên không tồn tại.</t>
  </si>
  <si>
    <t>Bảng quyết định / Autocomplete</t>
  </si>
  <si>
    <t>TD_RECRUIT_FLOW_03
TC_RECRUIT_FLOW_013, TC_RECRUIT_FLOW_014, TC_RECRUIT_FLOW_015</t>
  </si>
  <si>
    <t>Hành động theo trạng thái</t>
  </si>
  <si>
    <t>Schedule không ở Initiated, có sau Shortlist, đổi khi Scheduled, terminal Rejected, Cancel Reject.</t>
  </si>
  <si>
    <t>TD_RECRUIT_FLOW_04
TC_RECRUIT_FLOW_016, TC_RECRUIT_FLOW_017, TC_RECRUIT_FLOW_018, TC_RECRUIT_FLOW_019, TC_RECRUIT_FLOW_020</t>
  </si>
  <si>
    <t>Detail / Candidate History</t>
  </si>
  <si>
    <t>Đối chiếu thông tin hồ sơ và chuỗi event khởi tạo/shortlist/reject/schedule.</t>
  </si>
  <si>
    <t>TD_RECRUIT_FLOW_05
TC_RECRUIT_FLOW_021, TC_RECRUIT_FLOW_022, TC_RECRUIT_FLOW_023, TC_RECRUIT_FLOW_024, TC_RECRUIT_FLOW_025</t>
  </si>
  <si>
    <t>Nguyễn Văn Thắng – 23130299</t>
  </si>
  <si>
    <t>TC_RECRUIT_VAC_001</t>
  </si>
  <si>
    <t>Tạo vacancy với các trường bắt buộc</t>
  </si>
  <si>
    <t>Lưu thành công; hiển thị đúng tên, Job Title, Hiring Manager, Positions=1.</t>
  </si>
  <si>
    <t>Không phụ thuộc test case khác; fixture được thiết lập trước case và khôi phục sau case.</t>
  </si>
  <si>
    <t>TD_RECRUIT_VAC_01
Positive; Phân vùng tương đương
Automation: P1</t>
  </si>
  <si>
    <t>TC_RECRUIT_VAC_002</t>
  </si>
  <si>
    <t>Tạo vacancy với đủ thông tin</t>
  </si>
  <si>
    <t>Tên, mô tả, số lượng, manager, Active và Publish giữ đúng giá trị đã lưu.</t>
  </si>
  <si>
    <t>TC_RECRUIT_VAC_003</t>
  </si>
  <si>
    <t>Không chọn Job Title</t>
  </si>
  <si>
    <t>Job Title hiện Required; VAC_RUN03 không được tạo.</t>
  </si>
  <si>
    <t>TD_RECRUIT_VAC_01
Negative; Phân vùng tương đương
Automation: P1</t>
  </si>
  <si>
    <t>TC_RECRUIT_VAC_004</t>
  </si>
  <si>
    <t>Để trống Vacancy Name</t>
  </si>
  <si>
    <t>Vacancy Name hiện Required; không tạo vacancy.</t>
  </si>
  <si>
    <t>TC_RECRUIT_VAC_005</t>
  </si>
  <si>
    <t>Không chọn Hiring Manager</t>
  </si>
  <si>
    <t>Hiring Manager hiện Required; không lưu.</t>
  </si>
  <si>
    <t>TC_RECRUIT_VAC_006</t>
  </si>
  <si>
    <t>Tên vacancy chỉ có khoảng trắng</t>
  </si>
  <si>
    <t>Không tạo được vacancy chỉ có khoảng trắng; có lỗi bắt buộc/không hợp lệ.</t>
  </si>
  <si>
    <t>TD_RECRUIT_VAC_01
Negative; Phân vùng tương đương
Automation: P1
Cần kiểm tra UI: Xác nhận trim trên demo trước khi cố định expected.</t>
  </si>
  <si>
    <t>TC_RECRUIT_VAC_007</t>
  </si>
  <si>
    <t>Hiring Manager từ autocomplete</t>
  </si>
  <si>
    <t>Lưu đúng nhân viên từ suggestion, không phải chuỗi tên tự do.</t>
  </si>
  <si>
    <t>TD_RECRUIT_VAC_01
Positive; Phân vùng tương đương / Autocomplete
Automation: P1</t>
  </si>
  <si>
    <t>TC_RECRUIT_VAC_008</t>
  </si>
  <si>
    <t>Số vị trí tuyển bằng 1</t>
  </si>
  <si>
    <t>Chấp nhận giá trị 1; Positions=1 sau reload.</t>
  </si>
  <si>
    <t>TD_RECRUIT_VAC_02
Positive; Phân tích giá trị biên
Automation: P1</t>
  </si>
  <si>
    <t>TC_RECRUIT_VAC_009</t>
  </si>
  <si>
    <t>Số vị trí tuyển bằng 0</t>
  </si>
  <si>
    <t>Không chấp nhận 0 nếu quy tắc số lượng phải dương; không tạo VAC_RUN09.</t>
  </si>
  <si>
    <t>TD_RECRUIT_VAC_02
Negative; Phân tích giá trị biên
Automation: P1
Cần kiểm tra UI: Kiểm tra giới hạn số lượng của bản demo; cập nhật nếu 0 được phép.</t>
  </si>
  <si>
    <t>TC_RECRUIT_VAC_010</t>
  </si>
  <si>
    <t>Số vị trí tuyển âm</t>
  </si>
  <si>
    <t>Không lưu số âm; UI chặn hoặc hiển thị lỗi.</t>
  </si>
  <si>
    <t>TD_RECRUIT_VAC_02
Negative; Phân tích giá trị biên
Automation: P1
Cần kiểm tra UI: Xác nhận có ràng buộc &gt;=1.</t>
  </si>
  <si>
    <t>TC_RECRUIT_VAC_011</t>
  </si>
  <si>
    <t>Số vị trí tuyển không phải số</t>
  </si>
  <si>
    <t>Chỉ chấp nhận số; chuỗi 'abc' bị chặn hoặc báo Invalid; không lưu 'abc'.</t>
  </si>
  <si>
    <t>TD_RECRUIT_VAC_02
Negative; Phân tích giá trị biên
Automation: P1</t>
  </si>
  <si>
    <t>TC_RECRUIT_VAC_012</t>
  </si>
  <si>
    <t>Lưu vacancy Active</t>
  </si>
  <si>
    <t>Active bật và Publish tắt sau reload.</t>
  </si>
  <si>
    <t>TD_RECRUIT_VAC_03
Positive; Chuyển trạng thái
Automation: P1</t>
  </si>
  <si>
    <t>TC_RECRUIT_VAC_013</t>
  </si>
  <si>
    <t>Lưu vacancy Inactive</t>
  </si>
  <si>
    <t>Active vẫn tắt sau reload.</t>
  </si>
  <si>
    <t>TC_RECRUIT_VAC_014</t>
  </si>
  <si>
    <t>Lưu vacancy bật Publish</t>
  </si>
  <si>
    <t>Hai checkbox giữ trạng thái On; không suy diễn về cổng tuyển dụng ngoài demo.</t>
  </si>
  <si>
    <t>TC_RECRUIT_VAC_015</t>
  </si>
  <si>
    <t>Đổi Active trên vacancy đã tồn tại</t>
  </si>
  <si>
    <t>Mỗi lần reload phản ánh trạng thái đã lưu; các trường khác không đổi.</t>
  </si>
  <si>
    <t>TC_RECRUIT_VAC_016</t>
  </si>
  <si>
    <t>Tìm vacancy theo Job Title</t>
  </si>
  <si>
    <t>TD_RECRUIT_VAC_04
Positive; Phân vùng tương đương
Automation: P1</t>
  </si>
  <si>
    <t>TC_RECRUIT_VAC_017</t>
  </si>
  <si>
    <t>Tìm vacancy theo Hiring Manager</t>
  </si>
  <si>
    <t>VAC_FILTER_A xuất hiện; các dòng có manager phù hợp.</t>
  </si>
  <si>
    <t>TC_RECRUIT_VAC_018</t>
  </si>
  <si>
    <t>Tìm vacancy theo Vacancy Name</t>
  </si>
  <si>
    <t>Có VAC_FILTER_A, không có VAC_FILTER_B.</t>
  </si>
  <si>
    <t>TC_RECRUIT_VAC_019</t>
  </si>
  <si>
    <t>Lọc kết hợp Job Title và Manager</t>
  </si>
  <si>
    <t>Chỉ có vacancy thỏa đồng thời hai điều kiện.</t>
  </si>
  <si>
    <t>TD_RECRUIT_VAC_04
Positive; Bảng quyết định
Automation: P1</t>
  </si>
  <si>
    <t>TC_RECRUIT_VAC_020</t>
  </si>
  <si>
    <t>Lọc vacancy không tồn tại</t>
  </si>
  <si>
    <t>Không có kết quả hoặc hiển thị No Records Found; không hiện dữ liệu khác.</t>
  </si>
  <si>
    <t>TD_RECRUIT_VAC_04
Negative; Phân vùng tương đương
Automation: P1</t>
  </si>
  <si>
    <t>TC_RECRUIT_VAC_021</t>
  </si>
  <si>
    <t>Reset điều kiện lọc vacancy</t>
  </si>
  <si>
    <t>Bộ lọc về mặc định; danh sách trở về trạng thái không lọc.</t>
  </si>
  <si>
    <t>TD_RECRUIT_VAC_04
Positive; Chuyển trạng thái
Automation: P1</t>
  </si>
  <si>
    <t>TC_RECRUIT_VAC_022</t>
  </si>
  <si>
    <t>Sửa Description của vacancy</t>
  </si>
  <si>
    <t>Description mới được lưu chính xác; field còn lại giữ baseline.</t>
  </si>
  <si>
    <t>TD_RECRUIT_VAC_05
Positive; Phân vùng tương đương
Automation: P1</t>
  </si>
  <si>
    <t>TC_RECRUIT_VAC_023</t>
  </si>
  <si>
    <t>Sửa Positions và Hiring Manager</t>
  </si>
  <si>
    <t>Positions=4 và Hiring Manager=MANAGER_B sau tải lại.</t>
  </si>
  <si>
    <t>TC_RECRUIT_VAC_024</t>
  </si>
  <si>
    <t>Hủy tạo vacancy</t>
  </si>
  <si>
    <t>Không tạo bản ghi VAC_CANCEL_RUN.</t>
  </si>
  <si>
    <t>TD_RECRUIT_VAC_05
Positive; Chuyển trạng thái
Automation: P1</t>
  </si>
  <si>
    <t>TC_RECRUIT_VAC_025</t>
  </si>
  <si>
    <t>Hủy sửa vacancy giữ dữ liệu cũ</t>
  </si>
  <si>
    <t>Name và trường khác vẫn đúng baseline; không xuất hiện tên tạm.</t>
  </si>
  <si>
    <t>TC_RECRUIT_CAND_001</t>
  </si>
  <si>
    <t>Tạo ứng viên tối thiểu</t>
  </si>
  <si>
    <t>Tiền điều kiện: Đã đăng nhập Admin/Recruitment; có VAC_A đang hiệu lực; email example.com và fixture hồ sơ riêng theo RUN_ID.
Input: First=An; Last=NguyenRUN01; Email=an.run01@example.com; Vacancy=VAC_A
1. Vào Recruitment &gt; Candidates &gt; Add.
2. Nhập First, Last, Email và chọn VAC_A.
3. Save; trở lại list, tìm đúng email và mở hồ sơ.
Kết thúc: khôi phục / dọn dẹp fixture theo Test Data; không dùng bản ghi của người khác.</t>
  </si>
  <si>
    <t>Tạo được ứng viên; tên, email và vacancy đúng input.</t>
  </si>
  <si>
    <t>TD_RECRUIT_CAND_01
Positive; Phân vùng tương đương
Automation: P1</t>
  </si>
  <si>
    <t>TC_RECRUIT_CAND_002</t>
  </si>
  <si>
    <t>Tạo ứng viên với thông tin đầy đủ</t>
  </si>
  <si>
    <t>Tiền điều kiện: Đã đăng nhập Admin/Recruitment; có VAC_A đang hiệu lực; email example.com và fixture hồ sơ riêng theo RUN_ID.
Input: First=Minh; Middle=Quang; Last=TranRUN02; Email=minh.run02@example.com; Phone=0900000002; Keywords=java,qa; Notes=demo; VAC_A
1. Mở Add Candidate; nhập đủ dữ liệu và chọn VAC_A.
2. Chọn consent theo trạng thái cho phép lưu; Save.
3. Mở hồ sơ.
Kết thúc: khôi phục / dọn dẹp fixture theo Test Data; không dùng bản ghi của người khác.</t>
  </si>
  <si>
    <t>Lưu đúng tên đầy đủ, email, phone, vacancy, keyword và notes.</t>
  </si>
  <si>
    <t>TC_RECRUIT_CAND_003</t>
  </si>
  <si>
    <t>Tiền điều kiện: Đã đăng nhập Admin/Recruitment; có VAC_A đang hiệu lực; email example.com và fixture hồ sơ riêng theo RUN_ID.
Input: First rỗng; Last=NguyenRUN03; Email=run03@example.com
1. Mở Add Candidate, nhập Last và Email; First để rỗng.
2. Save.
Kết thúc: khôi phục / dọn dẹp fixture theo Test Data; không dùng bản ghi của người khác.</t>
  </si>
  <si>
    <t>First Name báo Required; hồ sơ không được tạo.</t>
  </si>
  <si>
    <t>TD_RECRUIT_CAND_01
Negative; Phân vùng tương đương
Automation: P1</t>
  </si>
  <si>
    <t>TC_RECRUIT_CAND_004</t>
  </si>
  <si>
    <t>Tiền điều kiện: Đã đăng nhập Admin/Recruitment; có VAC_A đang hiệu lực; email example.com và fixture hồ sơ riêng theo RUN_ID.
Input: First=An; Last rỗng; Email=run04@example.com
1. Mở Add Candidate, nhập First/Email; Last để rỗng.
2. Save.
Kết thúc: khôi phục / dọn dẹp fixture theo Test Data; không dùng bản ghi của người khác.</t>
  </si>
  <si>
    <t>Last Name báo Required; hồ sơ không được tạo.</t>
  </si>
  <si>
    <t>TC_RECRUIT_CAND_005</t>
  </si>
  <si>
    <t>Bỏ trống Email</t>
  </si>
  <si>
    <t>Tiền điều kiện: Đã đăng nhập Admin/Recruitment; có VAC_A đang hiệu lực; email example.com và fixture hồ sơ riêng theo RUN_ID.
Input: First=An; Last=NguyenRUN05; Email rỗng
1. Mở Add Candidate, nhập First/Last, xóa Email.
2. Save.
Kết thúc: khôi phục / dọn dẹp fixture theo Test Data; không dùng bản ghi của người khác.</t>
  </si>
  <si>
    <t>Email báo Required; hồ sơ không được tạo.</t>
  </si>
  <si>
    <t>TC_RECRUIT_CAND_006</t>
  </si>
  <si>
    <t>Không chọn Vacancy tùy chọn</t>
  </si>
  <si>
    <t>Tiền điều kiện: Đã đăng nhập Admin/Recruitment; có VAC_A đang hiệu lực; email example.com và fixture hồ sơ riêng theo RUN_ID.
Input: First=An; Last=NguyenRUN06; Email=run06@example.com; Vacancy rỗng
1. Mở Add Candidate, điền First/Last/Email.
2. Để trống Vacancy; Save; mở hồ sơ.
Kết thúc: khôi phục / dọn dẹp fixture theo Test Data; không dùng bản ghi của người khác.</t>
  </si>
  <si>
    <t>Nếu demo cho phép vacancy tùy chọn: lưu ứng viên và hiển thị Vacancy rỗng; ghi nhận chính xác hành vi.</t>
  </si>
  <si>
    <t>TD_RECRUIT_CAND_01
Positive; Phân vùng tương đương
Automation: P1
Cần kiểm tra UI: Theo hướng dẫn OrangeHRM, Vacancy không đánh dấu bắt buộc; kiểm tra trên demo.</t>
  </si>
  <si>
    <t>TC_RECRUIT_CAND_007</t>
  </si>
  <si>
    <t>Kiểm tra consent khi tạo hồ sơ</t>
  </si>
  <si>
    <t>Tiền điều kiện: Đã đăng nhập Admin/Recruitment; có VAC_A đang hiệu lực; email example.com và fixture hồ sơ riêng theo RUN_ID.
Input: First=An; Last=NguyenRUN07; Email=run07@example.com; Consent=On
1. Mở Add Candidate, nhập thông tin bắt buộc.
2. Bật checkbox consent (nếu có).
3. Save và mở lại hồ sơ.
Kết thúc: khôi phục / dọn dẹp fixture theo Test Data; không dùng bản ghi của người khác.</t>
  </si>
  <si>
    <t>Lưu thành công; trạng thái consent đúng tùy chọn hoặc hệ thống có ghi nhận chọn đồng ý.</t>
  </si>
  <si>
    <t>TD_RECRUIT_CAND_01
Positive; Phân vùng tương đương
Automation: P1
Cần kiểm tra UI: Demo có thể chỉ hiển thị consent ở form riêng; điều chỉnh nếu UI khác.</t>
  </si>
  <si>
    <t>TC_RECRUIT_CAND_008</t>
  </si>
  <si>
    <t>Email hợp lệ dạng example.com</t>
  </si>
  <si>
    <t>Tiền điều kiện: Đã đăng nhập Admin/Recruitment; có VAC_A đang hiệu lực; email example.com và fixture hồ sơ riêng theo RUN_ID.
Input: Email=quality.run08@example.com
1. Add ứng viên tên riêng hợp lệ với email hợp lệ.
2. Save và mở lại.
Kết thúc: khôi phục / dọn dẹp fixture theo Test Data; không dùng bản ghi của người khác.</t>
  </si>
  <si>
    <t>Email được lưu nguyên vẹn; có thể tìm đúng hồ sơ.</t>
  </si>
  <si>
    <t>TD_RECRUIT_CAND_02
Positive; Phân vùng tương đương
Automation: P1</t>
  </si>
  <si>
    <t>TC_RECRUIT_CAND_009</t>
  </si>
  <si>
    <t>Email thiếu ký tự @</t>
  </si>
  <si>
    <t>Tiền điều kiện: Đã đăng nhập Admin/Recruitment; có VAC_A đang hiệu lực; email example.com và fixture hồ sơ riêng theo RUN_ID.
Input: Email=quality.example.com
1. Add ứng viên với First/Last hợp lệ; nhập Email thiếu @.
2. Save.
Kết thúc: khôi phục / dọn dẹp fixture theo Test Data; không dùng bản ghi của người khác.</t>
  </si>
  <si>
    <t>Email báo invalid; không tạo hồ sơ.</t>
  </si>
  <si>
    <t>TD_RECRUIT_CAND_02
Negative; Phân vùng tương đương
Automation: P1</t>
  </si>
  <si>
    <t>TC_RECRUIT_CAND_010</t>
  </si>
  <si>
    <t>Email thiếu phần domain</t>
  </si>
  <si>
    <t>Tiền điều kiện: Đã đăng nhập Admin/Recruitment; có VAC_A đang hiệu lực; email example.com và fixture hồ sơ riêng theo RUN_ID.
Input: Email=quality@
1. Add ứng viên với First/Last hợp lệ; nhập Email=quality@.
2. Save.
Kết thúc: khôi phục / dọn dẹp fixture theo Test Data; không dùng bản ghi của người khác.</t>
  </si>
  <si>
    <t>TC_RECRUIT_CAND_011</t>
  </si>
  <si>
    <t>Số điện thoại dạng chữ</t>
  </si>
  <si>
    <t>Tiền điều kiện: Đã đăng nhập Admin/Recruitment; có VAC_A đang hiệu lực; email example.com và fixture hồ sơ riêng theo RUN_ID.
Input: Phone='abcXYZ'; Email=run11@example.com
1. Add hồ sơ với tên và email hợp lệ, Phone=abcXYZ.
2. Save; kiểm tra trạng thái và hồ sơ.
Kết thúc: khôi phục / dọn dẹp fixture theo Test Data; không dùng bản ghi của người khác.</t>
  </si>
  <si>
    <t>Không nhận số điện thoại sai dạng nếu có validation; ghi lại thông báo đúng UI.</t>
  </si>
  <si>
    <t>TD_RECRUIT_CAND_02
Negative; Phân vùng tương đương
Automation: P1
Cần kiểm tra UI: Demo có thể cho phép Phone tự do; xác nhận quy tắc trước khi khóa kỳ vọng.</t>
  </si>
  <si>
    <t>TC_RECRUIT_CAND_012</t>
  </si>
  <si>
    <t>Số điện thoại hợp lệ</t>
  </si>
  <si>
    <t>Tiền điều kiện: Đã đăng nhập Admin/Recruitment; có VAC_A đang hiệu lực; email example.com và fixture hồ sơ riêng theo RUN_ID.
Input: Phone=0900000012; Email=run12@example.com
1. Add hồ sơ với First/Last/Email; nhập Phone=0900000012.
2. Save, reload.
Kết thúc: khôi phục / dọn dẹp fixture theo Test Data; không dùng bản ghi của người khác.</t>
  </si>
  <si>
    <t>Contact Number giữ đúng '0900000012' và không mất số 0 đầu.</t>
  </si>
  <si>
    <t>TC_RECRUIT_CAND_013</t>
  </si>
  <si>
    <t>Tải lên CV PDF hợp lệ</t>
  </si>
  <si>
    <t>Tiền điều kiện: Đã đăng nhập Admin/Recruitment; có VAC_A đang hiệu lực; email example.com và fixture hồ sơ riêng theo RUN_ID.
Input: resume_run.pdf; dung lượng &lt;CV_LIMIT
1. Chuẩn bị file PDF hợp lệ.
2. Add Candidate; nhập đủ trường và chọn CV.
3. Save rồi mở hồ sơ, đọc tên file.
Kết thúc: khôi phục / dọn dẹp fixture theo Test Data; không dùng bản ghi của người khác.</t>
  </si>
  <si>
    <t>CV được đính kèm đúng tên và có thể mở/tải theo quyền của demo.</t>
  </si>
  <si>
    <t>TD_RECRUIT_CAND_03
Positive; Phân vùng tương đương
Automation: P1</t>
  </si>
  <si>
    <t>TC_RECRUIT_CAND_014</t>
  </si>
  <si>
    <t>Tải lên CV DOCX hợp lệ</t>
  </si>
  <si>
    <t>Tiền điều kiện: Đã đăng nhập Admin/Recruitment; có VAC_A đang hiệu lực; email example.com và fixture hồ sơ riêng theo RUN_ID.
Input: resume_run.docx; dung lượng &lt;CV_LIMIT
1. Chuẩn bị DOCX hợp lệ.
2. Add Candidate và upload file.
3. Save; mở chi tiết hồ sơ.
Kết thúc: khôi phục / dọn dẹp fixture theo Test Data; không dùng bản ghi của người khác.</t>
  </si>
  <si>
    <t>CV DOCX được đính kèm và hiển thị đúng tên.</t>
  </si>
  <si>
    <t>TC_RECRUIT_CAND_015</t>
  </si>
  <si>
    <t>Tải CV định dạng không hợp lệ</t>
  </si>
  <si>
    <t>Tiền điều kiện: Đã đăng nhập Admin/Recruitment; có VAC_A đang hiệu lực; email example.com và fixture hồ sơ riêng theo RUN_ID.
Input: resume_run.exe; dung lượng nhỏ
1. Add Candidate với thông tin hợp lệ.
2. Chọn resume_run.exe; Save.
Kết thúc: khôi phục / dọn dẹp fixture theo Test Data; không dùng bản ghi của người khác.</t>
  </si>
  <si>
    <t>Hệ thống từ chối định dạng không hỗ trợ; không lưu tệp .exe.</t>
  </si>
  <si>
    <t>TD_RECRUIT_CAND_03
Negative; Phân vùng tương đương
Automation: P1</t>
  </si>
  <si>
    <t>TC_RECRUIT_CAND_016</t>
  </si>
  <si>
    <t>Tải CV vượt dung lượng tối đa</t>
  </si>
  <si>
    <t>Tiền điều kiện: Đã đăng nhập Admin/Recruitment; có VAC_A đang hiệu lực; email example.com và fixture hồ sơ riêng theo RUN_ID.
Input: resume_oversize.pdf; dung lượng CV_LIMIT+1 byte
1. Đọc giới hạn file được hiển thị trên UI.
2. Add Candidate, chọn file PDF vượt đúng 1 byte; Save.
Kết thúc: khôi phục / dọn dẹp fixture theo Test Data; không dùng bản ghi của người khác.</t>
  </si>
  <si>
    <t>Hiển thị lỗi vượt giới hạn; file quá lớn không được đính kèm.</t>
  </si>
  <si>
    <t>TD_RECRUIT_CAND_03
Negative; Phân tích giá trị biên
Automation: P1
Cần kiểm tra UI: CV_LIMIT lấy từ demo, không áp dụng mặc định 5MB của bản thương mại.</t>
  </si>
  <si>
    <t>TC_RECRUIT_CAND_017</t>
  </si>
  <si>
    <t>Hủy chọn CV trước lưu</t>
  </si>
  <si>
    <t>Tiền điều kiện: Đã đăng nhập Admin/Recruitment; có VAC_A đang hiệu lực; email example.com và fixture hồ sơ riêng theo RUN_ID.
Input: Chọn resume_run.pdf rồi hủy/tắt form, tạo hồ sơ mới không file
1. Mở Add, chọn CV hợp lệ nhưng chưa Save.
2. Cancel/đóng form.
3. Mở Add lại, tạo ứng viên khác không file.
Kết thúc: khôi phục / dọn dẹp fixture theo Test Data; không dùng bản ghi của người khác.</t>
  </si>
  <si>
    <t>Không có CV của lần thao tác hủy trong hồ sơ mới; không phát sinh ứng viên lần đầu.</t>
  </si>
  <si>
    <t>TD_RECRUIT_CAND_03
Positive; Chuyển trạng thái
Automation: P1</t>
  </si>
  <si>
    <t>TC_RECRUIT_CAND_018</t>
  </si>
  <si>
    <t>Lọc ứng viên theo Vacancy</t>
  </si>
  <si>
    <t>Tiền điều kiện: Đã đăng nhập Admin/Recruitment; có VAC_A đang hiệu lực; email example.com và fixture hồ sơ riêng theo RUN_ID.
Input: VAC_A; CAND_FILTER_A thuộc VAC_A
1. Vào Recruitment &gt; Candidates.
2. Chọn Vacancy=VAC_A; Search.
3. Đối chiếu các dòng.
Kết thúc: khôi phục / dọn dẹp fixture theo Test Data; không dùng bản ghi của người khác.</t>
  </si>
  <si>
    <t>CAND_FILTER_A xuất hiện; kết quả thuộc VAC_A.</t>
  </si>
  <si>
    <t>TD_RECRUIT_CAND_04
Positive; Phân vùng tương đương
Automation: P1</t>
  </si>
  <si>
    <t>TC_RECRUIT_CAND_019</t>
  </si>
  <si>
    <t>Lọc theo Candidate Name</t>
  </si>
  <si>
    <t>Tiền điều kiện: Đã đăng nhập Admin/Recruitment; có VAC_A đang hiệu lực; email example.com và fixture hồ sơ riêng theo RUN_ID.
Input: Tên chính xác CAND_FILTER_A
1. Mở Candidates; gõ tên, chọn đúng suggestion nếu được yêu cầu.
2. Search.
Kết thúc: khôi phục / dọn dẹp fixture theo Test Data; không dùng bản ghi của người khác.</t>
  </si>
  <si>
    <t>Hiện CAND_FILTER_A, không lẫn CAND_FILTER_B khác tên.</t>
  </si>
  <si>
    <t>TC_RECRUIT_CAND_020</t>
  </si>
  <si>
    <t>Lọc ứng viên theo Keywords</t>
  </si>
  <si>
    <t>Tiền điều kiện: Đã đăng nhập Admin/Recruitment; có VAC_A đang hiệu lực; email example.com và fixture hồ sơ riêng theo RUN_ID.
Input: Keyword='run_keyword_a' trên CAND_FILTER_A
1. Mở Candidates; nhập Keywords=run_keyword_a; Search.
Kết thúc: khôi phục / dọn dẹp fixture theo Test Data; không dùng bản ghi của người khác.</t>
  </si>
  <si>
    <t>Hiện ứng viên có keyword phù hợp, gồm CAND_FILTER_A.</t>
  </si>
  <si>
    <t>TC_RECRUIT_CAND_021</t>
  </si>
  <si>
    <t>Lọc kết hợp Vacancy và ngày ứng tuyển</t>
  </si>
  <si>
    <t>Tiền điều kiện: Đã đăng nhập Admin/Recruitment; có VAC_A đang hiệu lực; email example.com và fixture hồ sơ riêng theo RUN_ID.
Input: VAC_A; From=RUN_DATE−1 ngày; To=RUN_DATE+1 ngày (ngày tạo fixture thực tế)
1. Ghi nhận ngày ứng tuyển thật của CAND_FILTER_A.
2. Chọn Vacancy=VAC_A và khoảng ngày bao phủ đúng ngày đó.
3. Search; đối chiếu kết quả ngày và vacancy.
Kết thúc: khôi phục / dọn dẹp fixture theo Test Data.</t>
  </si>
  <si>
    <t>Chỉ xuất hiện ứng viên thỏa vacancy và ngày trong khoảng đã nhập.</t>
  </si>
  <si>
    <t>TD_RECRUIT_CAND_04
Positive; Bảng quyết định
Automation: P1</t>
  </si>
  <si>
    <t>TC_RECRUIT_CAND_022</t>
  </si>
  <si>
    <t>Reset bộ lọc Candidates</t>
  </si>
  <si>
    <t>Tiền điều kiện: Đã đăng nhập Admin/Recruitment; có VAC_A đang hiệu lực; email example.com và fixture hồ sơ riêng theo RUN_ID.
Input: Vacancy=VAC_A; Keywords=run_keyword_a
1. Áp dụng hai điều kiện; Search.
2. Nhấn Reset.
3. Kiểm tra input và kết quả.
Kết thúc: khôi phục / dọn dẹp fixture theo Test Data; không dùng bản ghi của người khác.</t>
  </si>
  <si>
    <t>Hai filter về mặc định; danh sách trở lại trạng thái không lọc.</t>
  </si>
  <si>
    <t>TD_RECRUIT_CAND_04
Positive; Chuyển trạng thái
Automation: P1</t>
  </si>
  <si>
    <t>TC_RECRUIT_CAND_023</t>
  </si>
  <si>
    <t>Sửa Keywords và Notes hồ sơ</t>
  </si>
  <si>
    <t>Tiền điều kiện: Đã đăng nhập Admin/Recruitment; có VAC_A đang hiệu lực; email example.com và fixture hồ sơ riêng theo RUN_ID.
Input: CAND_EDIT; Keywords=playwright,regression; Notes='Updated RUN'
1. Mở chi tiết CAND_EDIT; ghi baseline.
2. Edit, đổi Keywords/Notes; Save; reload.
Kết thúc: khôi phục / dọn dẹp fixture theo Test Data; không dùng bản ghi của người khác.</t>
  </si>
  <si>
    <t>Keywords và Notes đúng giá trị mới; email và vacancy không đổi.</t>
  </si>
  <si>
    <t>TD_RECRUIT_CAND_05
Positive; Phân vùng tương đương
Automation: P1</t>
  </si>
  <si>
    <t>TC_RECRUIT_CAND_024</t>
  </si>
  <si>
    <t>Hủy chỉnh sửa hồ sơ ứng viên</t>
  </si>
  <si>
    <t>Tiền điều kiện: Đã đăng nhập Admin/Recruitment; có VAC_A đang hiệu lực; email example.com và fixture hồ sơ riêng theo RUN_ID.
Input: CAND_EDIT; Email tạm=unsaved@example.com
1. Mở CAND_EDIT; ghi email gốc.
2. Vào Edit, đổi email; nhấn Cancel/Back.
3. Reload hồ sơ.
Kết thúc: khôi phục / dọn dẹp fixture theo Test Data; không dùng bản ghi của người khác.</t>
  </si>
  <si>
    <t>Email vẫn đúng baseline; không lưu email tạm.</t>
  </si>
  <si>
    <t>TD_RECRUIT_CAND_05
Positive; Chuyển trạng thái
Automation: P1</t>
  </si>
  <si>
    <t>TC_RECRUIT_CAND_025</t>
  </si>
  <si>
    <t>Đối chiếu dữ liệu hồ sơ sau tải lại</t>
  </si>
  <si>
    <t>Tiền điều kiện: Đã đăng nhập Admin/Recruitment; có VAC_A đang hiệu lực; email example.com và fixture hồ sơ riêng theo RUN_ID.
Input: CAND_EDIT; First, Last, Email, Contact, Vacancy theo baseline
1. Mở CAND_EDIT; ghi 5 trường baseline.
2. Tải lại; đối chiếu từng trường và danh sách.
Kết thúc: khôi phục / dọn dẹp fixture theo Test Data; không dùng bản ghi của người khác.</t>
  </si>
  <si>
    <t>Chi tiết và dòng danh sách nhất quán; không mất dữ liệu khi reload.</t>
  </si>
  <si>
    <t>TC_RECRUIT_FLOW_001</t>
  </si>
  <si>
    <t>Kiểm tra trạng thái ứng viên mới</t>
  </si>
  <si>
    <t>Tiền điều kiện: Đã đăng nhập Admin/Recruitment; VAC_A và INTERVIEWER_A/B hiệu lực; ứng viên độc lập đúng trạng thái đầu vào.
Input: F_NEW_01; Vacancy=VAC_A; vừa tạo chưa thao tác
1. Tạo F_NEW_01 từ giao diện Candidates.
2. Mở chi tiết và Candidate History.
Kết thúc: khôi phục / dọn dẹp fixture theo Test Data; không dùng bản ghi của người khác.</t>
  </si>
  <si>
    <t>Trạng thái đầu vào là Application Initiated hoặc nhãn khởi tạo tương đương; chưa có sự kiện Shortlist/Reject.</t>
  </si>
  <si>
    <t>Không phụ thuộc test khác; fixture đúng trạng thái được tạo trong setup.
Riêng flow, không dùng candidate đã Rejected cho nhánh Shortlisted.</t>
  </si>
  <si>
    <t>TD_RECRUIT_FLOW_01
Positive; Phân vùng tương đương
Automation: P1</t>
  </si>
  <si>
    <t>TC_RECRUIT_FLOW_002</t>
  </si>
  <si>
    <t>Shortlist ứng viên mới</t>
  </si>
  <si>
    <t>Tiền điều kiện: Đã đăng nhập Admin/Recruitment; VAC_A và INTERVIEWER_A/B hiệu lực; ứng viên độc lập đúng trạng thái đầu vào.
Input: F_NEW_02 có status Application Initiated; Notes='Shortlist RUN'
1. Mở F_NEW_02.
2. Nhấn Shortlist; nhập Notes nếu có; xác nhận Save/Shortlist.
3. Reload.
Kết thúc: khôi phục / dọn dẹp fixture theo Test Data; không dùng bản ghi của người khác.</t>
  </si>
  <si>
    <t>Status chuyển Shortlisted; History ghi sự kiện shortlist đúng ứng viên.</t>
  </si>
  <si>
    <t>TD_RECRUIT_FLOW_01
Positive; Chuyển trạng thái
Automation: P1</t>
  </si>
  <si>
    <t>TC_RECRUIT_FLOW_003</t>
  </si>
  <si>
    <t>Reject ứng viên từ trạng thái ban đầu</t>
  </si>
  <si>
    <t>Tiền điều kiện: Đã đăng nhập Admin/Recruitment; VAC_A và INTERVIEWER_A/B hiệu lực; ứng viên độc lập đúng trạng thái đầu vào.
Input: F_NEW_03 Application Initiated; Notes='Reject initial RUN'
1. Mở F_NEW_03.
2. Nhấn Reject; xác nhận trong hộp thoại.
3. Reload.
Kết thúc: khôi phục / dọn dẹp fixture theo Test Data; không dùng bản ghi của người khác.</t>
  </si>
  <si>
    <t>Status chuyển Rejected; Candidate History có sự kiện reject.</t>
  </si>
  <si>
    <t>TC_RECRUIT_FLOW_004</t>
  </si>
  <si>
    <t>Reject ứng viên đã Shortlisted</t>
  </si>
  <si>
    <t>Tiền điều kiện: Đã đăng nhập Admin/Recruitment; VAC_A và INTERVIEWER_A/B hiệu lực; ứng viên độc lập đúng trạng thái đầu vào.
Input: F_SHORT_04 đang Shortlisted; Notes='Reject shortlisted RUN'
1. Mở F_SHORT_04.
2. Nhấn Reject; xác nhận.
3. Reload và xem History.
Kết thúc: khôi phục / dọn dẹp fixture theo Test Data; không dùng bản ghi của người khác.</t>
  </si>
  <si>
    <t>Trạng thái Rejected; lịch sử còn sự kiện shortlist cũ và thêm reject.</t>
  </si>
  <si>
    <t>TC_RECRUIT_FLOW_005</t>
  </si>
  <si>
    <t>Hủy hộp thoại Shortlist</t>
  </si>
  <si>
    <t>Tiền điều kiện: Đã đăng nhập Admin/Recruitment; VAC_A và INTERVIEWER_A/B hiệu lực; ứng viên độc lập đúng trạng thái đầu vào.
Input: F_NEW_05 Application Initiated; Notes='Không được lưu'
1. Mở F_NEW_05; nhấn Shortlist.
2. Điền Notes nếu có; nhấn Cancel/Back thay vì xác nhận.
3. Reload.
Kết thúc: khôi phục / dọn dẹp fixture theo Test Data; không dùng bản ghi của người khác.</t>
  </si>
  <si>
    <t>Status vẫn Application Initiated; History không có sự kiện Shortlist mới.</t>
  </si>
  <si>
    <t>TC_RECRUIT_FLOW_006</t>
  </si>
  <si>
    <t>Đặt lịch phỏng vấn với dữ liệu đầy đủ</t>
  </si>
  <si>
    <t>Tiền điều kiện: Đã đăng nhập Admin/Recruitment; VAC_A và INTERVIEWER_A/B hiệu lực; ứng viên độc lập đúng trạng thái đầu vào.
Input: F_SHORT_06; Title='Interview RUN06'; Interviewer=INT_A; Date=2026-11-10; Time=10:30; Notes='First round'
1. Mở F_SHORT_06 Shortlisted; nhấn Schedule Interview.
2. Điền các trường chính xác và chọn INT_A từ gợi ý.
3. Save; reload Candidate Details.
Kết thúc: khôi phục / dọn dẹp fixture theo Test Data; không dùng bản ghi của người khác.</t>
  </si>
  <si>
    <t>Chuyển sang Interview Scheduled; tiêu đề, người phỏng vấn, ngày 2026-11-10, giờ 10:30 và ghi chú đã lưu.</t>
  </si>
  <si>
    <t>TD_RECRUIT_FLOW_02
Positive; Chuyển trạng thái
Automation: P1</t>
  </si>
  <si>
    <t>TC_RECRUIT_FLOW_007</t>
  </si>
  <si>
    <t>Bỏ trống Interview Title</t>
  </si>
  <si>
    <t>Tiền điều kiện: Đã đăng nhập Admin/Recruitment; VAC_A và INTERVIEWER_A/B hiệu lực; ứng viên độc lập đúng trạng thái đầu vào.
Input: F_SHORT_07; Title rỗng; INT_A; Date=2026-11-10
1. Mở Schedule Interview của F_SHORT_07.
2. Để Title rỗng; điền các trường còn lại; Save.
Kết thúc: khôi phục / dọn dẹp fixture theo Test Data; không dùng bản ghi của người khác.</t>
  </si>
  <si>
    <t>Interview Title hiển thị Required; chưa có lịch mới.</t>
  </si>
  <si>
    <t>TD_RECRUIT_FLOW_02
Negative; Phân vùng tương đương
Automation: P1</t>
  </si>
  <si>
    <t>TC_RECRUIT_FLOW_008</t>
  </si>
  <si>
    <t>Bỏ trống Interviewer</t>
  </si>
  <si>
    <t>Tiền điều kiện: Đã đăng nhập Admin/Recruitment; VAC_A và INTERVIEWER_A/B hiệu lực; ứng viên độc lập đúng trạng thái đầu vào.
Input: F_SHORT_08; Title='Interview RUN08'; Interviewer rỗng; Date=2026-11-10
1. Mở Schedule Interview; điền Title và Date.
2. Không chọn Interviewer; Save.
Kết thúc: khôi phục / dọn dẹp fixture theo Test Data; không dùng bản ghi của người khác.</t>
  </si>
  <si>
    <t>Interviewer hiển thị Required; không tạo lịch.</t>
  </si>
  <si>
    <t>TC_RECRUIT_FLOW_009</t>
  </si>
  <si>
    <t>Bỏ trống ngày phỏng vấn</t>
  </si>
  <si>
    <t>Tiền điều kiện: Đã đăng nhập Admin/Recruitment; VAC_A và INTERVIEWER_A/B hiệu lực; ứng viên độc lập đúng trạng thái đầu vào.
Input: F_SHORT_09; Title='Interview RUN09'; INT_A; Date rỗng
1. Mở Schedule Interview; điền Title và Interviewer.
2. Xóa Date, Save.
Kết thúc: khôi phục / dọn dẹp fixture theo Test Data; không dùng bản ghi của người khác.</t>
  </si>
  <si>
    <t>Date hiển thị Required; không lưu lịch.</t>
  </si>
  <si>
    <t>TC_RECRUIT_FLOW_010</t>
  </si>
  <si>
    <t>Ngày phỏng vấn không tồn tại</t>
  </si>
  <si>
    <t>Tiền điều kiện: Đã đăng nhập Admin/Recruitment; VAC_A và INTERVIEWER_A/B hiệu lực; ứng viên độc lập đúng trạng thái đầu vào.
Input: F_SHORT_10; Date=31/02/2027; Title hợp lệ; INT_A
1. Mở Schedule Interview.
2. Nhập ngày 31/02/2027 theo định dạng UI (nếu datepicker chặn, ghi nhận).
3. Save.
Kết thúc: khôi phục / dọn dẹp fixture theo Test Data; không dùng bản ghi của người khác.</t>
  </si>
  <si>
    <t>Ngày không hợp lệ bị chặn hoặc báo lỗi; không tạo lịch với ngày này.</t>
  </si>
  <si>
    <t>TD_RECRUIT_FLOW_02
Negative; Phân vùng tương đương / Giá trị biên
Automation: P1</t>
  </si>
  <si>
    <t>TC_RECRUIT_FLOW_011</t>
  </si>
  <si>
    <t>Thời gian sai định dạng</t>
  </si>
  <si>
    <t>Tiền điều kiện: Đã đăng nhập Admin/Recruitment; VAC_A và INTERVIEWER_A/B hiệu lực; ứng viên độc lập đúng trạng thái đầu vào.
Input: F_SHORT_11; Time=25:99; Title hợp lệ; INT_A; Date hợp lệ
1. Mở Schedule Interview.
2. Nhập/paste giờ 25:99 vào Time; Save.
Kết thúc: khôi phục / dọn dẹp fixture theo Test Data; không dùng bản ghi của người khác.</t>
  </si>
  <si>
    <t>Không nhận thời gian ngoài miền hợp lệ; chặn nhập hoặc báo lỗi.</t>
  </si>
  <si>
    <t>TD_RECRUIT_FLOW_02
Negative; Phân vùng tương đương / Giá trị biên
Automation: P1
Cần kiểm tra UI: Kiểm tra giao diện Time có cho nhập tự do hay chỉ chọn giờ.</t>
  </si>
  <si>
    <t>TC_RECRUIT_FLOW_012</t>
  </si>
  <si>
    <t>Lưu ghi chú phỏng vấn</t>
  </si>
  <si>
    <t>Tiền điều kiện: Đã đăng nhập Admin/Recruitment; VAC_A và INTERVIEWER_A/B hiệu lực; ứng viên độc lập đúng trạng thái đầu vào.
Input: F_SHORT_12; Title='Interview RUN12'; INT_A; Date=2026-11-12; Time=14:00; Notes='Đánh giá kỹ năng QA'
1. Mở Schedule Interview, nhập dữ liệu đầy đủ.
2. Nhập Notes có dấu; Save.
3. Mở chi tiết/history của lịch.
Kết thúc: khôi phục / dọn dẹp fixture theo Test Data; không dùng bản ghi của người khác.</t>
  </si>
  <si>
    <t>Ghi chú hiển thị chính xác, không lỗi dấu; lịch được tạo đúng candidate.</t>
  </si>
  <si>
    <t>TD_RECRUIT_FLOW_02
Positive; Phân vùng tương đương
Automation: P1</t>
  </si>
  <si>
    <t>TC_RECRUIT_FLOW_013</t>
  </si>
  <si>
    <t>Chọn interviewer qua autocomplete</t>
  </si>
  <si>
    <t>Tiền điều kiện: Đã đăng nhập Admin/Recruitment; VAC_A và INTERVIEWER_A/B hiệu lực; ứng viên độc lập đúng trạng thái đầu vào.
Input: F_SHORT_13; INT_A nhân viên còn hiệu lực
1. Mở Schedule Interview.
2. Gõ tiền tố tên INT_A; chọn đúng suggestion.
3. Điền Title/Date, Save; mở lại.
Kết thúc: khôi phục / dọn dẹp fixture theo Test Data; không dùng bản ghi của người khác.</t>
  </si>
  <si>
    <t>Interviewer là INT_A, không lưu tên gõ tự do.</t>
  </si>
  <si>
    <t>TD_RECRUIT_FLOW_03
Positive; Phân vùng tương đương / Autocomplete
Automation: P1</t>
  </si>
  <si>
    <t>TC_RECRUIT_FLOW_014</t>
  </si>
  <si>
    <t>Chọn nhiều interviewer</t>
  </si>
  <si>
    <t>Tiền điều kiện: Đã đăng nhập Admin/Recruitment; VAC_A và INTERVIEWER_A/B hiệu lực; ứng viên độc lập đúng trạng thái đầu vào.
Input: F_SHORT_14; INT_A và INT_B khác người
1. Mở Schedule Interview.
2. Chọn INT_A, tiếp tục chọn INT_B qua suggestion.
3. Điền Title/Date; Save; mở lại.
Kết thúc: khôi phục / dọn dẹp fixture theo Test Data; không dùng bản ghi của người khác.</t>
  </si>
  <si>
    <t>Lưu đúng cả hai interviewer, không trùng; hiển thị đúng trên chi tiết.</t>
  </si>
  <si>
    <t>TD_RECRUIT_FLOW_03
Positive; Phân vùng tương đương
Automation: P1
Cần kiểm tra UI: Chỉ chạy nếu bản demo hỗ trợ multi-select; nếu không, ghi Blocked và phiên bản.</t>
  </si>
  <si>
    <t>TC_RECRUIT_FLOW_015</t>
  </si>
  <si>
    <t>Không chọn interviewer đã xóa</t>
  </si>
  <si>
    <t>Tiền điều kiện: Đã đăng nhập Admin/Recruitment; VAC_A và INTERVIEWER_A/B hiệu lực; ứng viên độc lập đúng trạng thái đầu vào.
Input: F_SHORT_15; gõ tên 'DELETED_INTERVIEWER_RUN' không tồn tại
1. Mở Schedule Interview.
2. Gõ tên không tồn tại vào Interviewer, không chọn suggestion.
3. Điền Title/Date, Save.
Kết thúc: khôi phục / dọn dẹp fixture theo Test Data; không dùng bản ghi của người khác.</t>
  </si>
  <si>
    <t>Không chấp nhận một chuỗi không khớp nhân viên còn hiệu lực; báo Required/Invalid.</t>
  </si>
  <si>
    <t>TD_RECRUIT_FLOW_03
Negative; Phân vùng tương đương / Autocomplete
Automation: P1</t>
  </si>
  <si>
    <t>TC_RECRUIT_FLOW_016</t>
  </si>
  <si>
    <t>Schedule Interview không có ở trạng thái mới</t>
  </si>
  <si>
    <t>Tiền điều kiện: Đã đăng nhập Admin/Recruitment; VAC_A và INTERVIEWER_A/B hiệu lực; ứng viên độc lập đúng trạng thái đầu vào.
Input: F_NEW_16 Application Initiated
1. Mở chi tiết F_NEW_16 chưa Shortlist.
2. Kiểm tra nút hành động và menu.
Kết thúc: khôi phục / dọn dẹp fixture theo Test Data; không dùng bản ghi của người khác.</t>
  </si>
  <si>
    <t>Không có thao tác Schedule Interview hợp lệ từ trạng thái đầu vào; phải Shortlist trước.</t>
  </si>
  <si>
    <t>TD_RECRUIT_FLOW_04
Positive; Chuyển trạng thái
Automation: P1</t>
  </si>
  <si>
    <t>TC_RECRUIT_FLOW_017</t>
  </si>
  <si>
    <t>Schedule Interview xuất hiện sau Shortlist</t>
  </si>
  <si>
    <t>Tiền điều kiện: Đã đăng nhập Admin/Recruitment; VAC_A và INTERVIEWER_A/B hiệu lực; ứng viên độc lập đúng trạng thái đầu vào.
Input: F_SHORT_17 Shortlisted
1. Mở F_SHORT_17.
2. Quan sát menu hành động.
3. Nhấn Schedule Interview và kiểm tra form.
Kết thúc: khôi phục / dọn dẹp fixture theo Test Data; không dùng bản ghi của người khác.</t>
  </si>
  <si>
    <t>Nút Schedule Interview khả dụng; mở được form lịch của đúng candidate.</t>
  </si>
  <si>
    <t>TC_RECRUIT_FLOW_018</t>
  </si>
  <si>
    <t>Trạng thái sau khi đặt lịch</t>
  </si>
  <si>
    <t>Tiền điều kiện: Đã đăng nhập Admin/Recruitment; VAC_A và INTERVIEWER_A/B hiệu lực; ứng viên độc lập đúng trạng thái đầu vào.
Input: F_SHORT_18; Title='Interview RUN18'; INT_A; Date hợp lệ
1. Mở F_SHORT_18; Schedule Interview đầy đủ.
2. Save; trở lại chi tiết, kiểm tra trạng thái.
Kết thúc: khôi phục / dọn dẹp fixture theo Test Data; không dùng bản ghi của người khác.</t>
  </si>
  <si>
    <t>Status là Interview Scheduled; không còn status Shortlisted.</t>
  </si>
  <si>
    <t>TC_RECRUIT_FLOW_019</t>
  </si>
  <si>
    <t>Không tái Shortlist sau khi Reject</t>
  </si>
  <si>
    <t>Tiền điều kiện: Đã đăng nhập Admin/Recruitment; VAC_A và INTERVIEWER_A/B hiệu lực; ứng viên độc lập đúng trạng thái đầu vào.
Input: F_REJECT_19 có trạng thái Rejected
1. Mở F_REJECT_19, quan sát tất cả nút.
2. Thử truy cập lại menu nếu có.
Kết thúc: khôi phục / dọn dẹp fixture theo Test Data; không dùng bản ghi của người khác.</t>
  </si>
  <si>
    <t>Không hiển thị thao tác Shortlist trái quy tắc trạng thái; status vẫn Rejected.</t>
  </si>
  <si>
    <t>TD_RECRUIT_FLOW_04
Positive; Chuyển trạng thái
Automation: P1
Cần kiểm tra UI: Ghi nhận flow nếu phiên bản hỗ trợ Re-activate ứng viên.</t>
  </si>
  <si>
    <t>TC_RECRUIT_FLOW_020</t>
  </si>
  <si>
    <t>Hủy Reject không đổi trạng thái</t>
  </si>
  <si>
    <t>Tiền điều kiện: Đã đăng nhập Admin/Recruitment; VAC_A và INTERVIEWER_A/B hiệu lực; ứng viên độc lập đúng trạng thái đầu vào.
Input: F_SHORT_20 Shortlisted
1. Mở F_SHORT_20; nhấn Reject.
2. Nhấn Cancel/Back trong dialog.
3. Reload chi tiết.
Kết thúc: khôi phục / dọn dẹp fixture theo Test Data; không dùng bản ghi của người khác.</t>
  </si>
  <si>
    <t>Vẫn Shortlisted; không thêm bản ghi Reject vào History.</t>
  </si>
  <si>
    <t>TC_RECRUIT_FLOW_021</t>
  </si>
  <si>
    <t>Candidate Details chứa đúng bản ghi</t>
  </si>
  <si>
    <t>Tiền điều kiện: Đã đăng nhập Admin/Recruitment; VAC_A và INTERVIEWER_A/B hiệu lực; ứng viên độc lập đúng trạng thái đầu vào.
Input: F_NEW_21; name/email/vacancy cố định theo Test Data
1. Vào Candidates; tìm bằng email F_NEW_21.
2. Mở chi tiết, đối chiếu name/email/vacancy.
Kết thúc: khôi phục / dọn dẹp fixture theo Test Data; không dùng bản ghi của người khác.</t>
  </si>
  <si>
    <t>Tên, email, vacancy và trạng thái đúng một ứng viên; không hiển thị fixture khác.</t>
  </si>
  <si>
    <t>TD_RECRUIT_FLOW_05
Positive; Phân vùng tương đương
Automation: P1</t>
  </si>
  <si>
    <t>TC_RECRUIT_FLOW_022</t>
  </si>
  <si>
    <t>History sau khi tạo ứng viên</t>
  </si>
  <si>
    <t>Tiền điều kiện: Đã đăng nhập Admin/Recruitment; VAC_A và INTERVIEWER_A/B hiệu lực; ứng viên độc lập đúng trạng thái đầu vào.
Input: F_NEW_22 mới được tạo
1. Mở F_NEW_22.
2. Cuộn đến Candidate History, đọc các dòng.
Kết thúc: khôi phục / dọn dẹp fixture theo Test Data; không dùng bản ghi của người khác.</t>
  </si>
  <si>
    <t>Có dữ liệu sự kiện khởi tạo/đính vacancy theo cơ chế bản demo; không có event interview/reject.</t>
  </si>
  <si>
    <t>TC_RECRUIT_FLOW_023</t>
  </si>
  <si>
    <t>History sau Shortlist</t>
  </si>
  <si>
    <t>Tiền điều kiện: Đã đăng nhập Admin/Recruitment; VAC_A và INTERVIEWER_A/B hiệu lực; ứng viên độc lập đúng trạng thái đầu vào.
Input: F_SHORT_23 đã chuyển từ Initiated bằng setup
1. Mở F_SHORT_23, xem Candidate History.
2. Mở View/chi tiết event nếu có.
Kết thúc: khôi phục / dọn dẹp fixture theo Test Data; không dùng bản ghi của người khác.</t>
  </si>
  <si>
    <t>Có event Shortlist gắn với đúng ứng viên và trình tự sau khi tạo.</t>
  </si>
  <si>
    <t>TC_RECRUIT_FLOW_024</t>
  </si>
  <si>
    <t>History sau Reject</t>
  </si>
  <si>
    <t>Tiền điều kiện: Đã đăng nhập Admin/Recruitment; VAC_A và INTERVIEWER_A/B hiệu lực; ứng viên độc lập đúng trạng thái đầu vào.
Input: F_REJECT_24 được reject từ Initiated
1. Mở F_REJECT_24, xem History.
2. Đối chiếu description, trạng thái và ghi chú.
Kết thúc: khôi phục / dọn dẹp fixture theo Test Data; không dùng bản ghi của người khác.</t>
  </si>
  <si>
    <t>Có event Reject của đúng ứng viên; trạng thái Rejected phù hợp event.</t>
  </si>
  <si>
    <t>TC_RECRUIT_FLOW_025</t>
  </si>
  <si>
    <t>History sau Schedule Interview</t>
  </si>
  <si>
    <t>Tiền điều kiện: Đã đăng nhập Admin/Recruitment; VAC_A và INTERVIEWER_A/B hiệu lực; ứng viên độc lập đúng trạng thái đầu vào.
Input: F_SCHED_25 đã được đặt lịch Title='Interview RUN25'
1. Mở F_SCHED_25 và Candidate History.
2. Mở event phỏng vấn; đối chiếu Title/INT_A/Date.
Kết thúc: khôi phục / dọn dẹp fixture theo Test Data; không dùng bản ghi của người khác.</t>
  </si>
  <si>
    <t>Có event Interview Scheduled; chi tiết trùng dữ liệu lịch đã lưu và đúng candidate.</t>
  </si>
  <si>
    <t>RECRUITMENT TEST DATA</t>
  </si>
  <si>
    <t>RUN_ID</t>
  </si>
  <si>
    <t>Mỗi run một token duy nhất, thay chuỗi RUN trong toàn bộ test; lưu timestamp.</t>
  </si>
  <si>
    <t>Chỉ xóa fixture với RUN_ID của nhóm mình.</t>
  </si>
  <si>
    <t>Không dùng dữ liệu thật.</t>
  </si>
  <si>
    <t>Admin / quyền Recruitment</t>
  </si>
  <si>
    <t>Đăng nhập bằng tài khoản demo hợp lệ được cung cấp trên trang; không hardcode password trong repo.</t>
  </si>
  <si>
    <t>Setup tất cả TC</t>
  </si>
  <si>
    <t>Đăng xuất cuối suite. Không sửa mật khẩu hoặc role của người khác.</t>
  </si>
  <si>
    <t>Login không tính là chức năng test riêng.</t>
  </si>
  <si>
    <t>VAC_A</t>
  </si>
  <si>
    <t>VAC_[RUN_ID]_BASE</t>
  </si>
  <si>
    <t>Tạo vacancy Active có JOB_A, MANAGER_A, Positions=3; chụp ID và trạng thái.</t>
  </si>
  <si>
    <t>Candidates + Flow</t>
  </si>
  <si>
    <t>Chỉ xóa sau khi đã dọn candidate liên quan.</t>
  </si>
  <si>
    <t>Vacancy phải chọn được trên Add Candidate.</t>
  </si>
  <si>
    <t>VAC_EDIT</t>
  </si>
  <si>
    <t>VAC_[RUN_ID]_EDIT</t>
  </si>
  <si>
    <t>Tạo bản ghi Active; lưu snapshot Name/Description/Positions/Manager trước khi test.</t>
  </si>
  <si>
    <t>VAC_015,022–025</t>
  </si>
  <si>
    <t>Restore sau mỗi TC, riêng nhánh thử Active cần reset.</t>
  </si>
  <si>
    <t>Không dùng bản ghi của người khác.</t>
  </si>
  <si>
    <t>VAC_FILTER_A</t>
  </si>
  <si>
    <t>VAC_[RUN_ID]_FILTER_A</t>
  </si>
  <si>
    <t>Tạo Job Title=JOB_A, Manager=MANAGER_A.</t>
  </si>
  <si>
    <t>VAC_016–021</t>
  </si>
  <si>
    <t>Xóa sau khi ghi evidence.</t>
  </si>
  <si>
    <t>Positive control.</t>
  </si>
  <si>
    <t>VAC_FILTER_B</t>
  </si>
  <si>
    <t>VAC_[RUN_ID]_FILTER_B</t>
  </si>
  <si>
    <t>Tạo Job Title khác hoặc Manager khác, Name khác A.</t>
  </si>
  <si>
    <t>VAC_018–019</t>
  </si>
  <si>
    <t>Negative control.</t>
  </si>
  <si>
    <t>CAND_EDIT</t>
  </si>
  <si>
    <t>cand_edit_[RUN_ID]@example.com</t>
  </si>
  <si>
    <t>Tạo ứng viên có Vacancy=VAC_A; lưu snapshot name, contact, keyword và note.</t>
  </si>
  <si>
    <t>CAND_023–025</t>
  </si>
  <si>
    <t>Khôi phục tất cả field sau từng TC.</t>
  </si>
  <si>
    <t>Email giả trên example.com.</t>
  </si>
  <si>
    <t>CAND_FILTER_A / B</t>
  </si>
  <si>
    <t>cand_filter_a_[RUN_ID]@example.com; cand_filter_b_[RUN_ID]@example.com</t>
  </si>
  <si>
    <t>A gán VAC_A + run_keyword_a; B khác vacancy hoặc keyword; kiểm tra ngày tạo.</t>
  </si>
  <si>
    <t>CAND_018–022</t>
  </si>
  <si>
    <t>Dọn dữ liệu của hai fixture sau run.</t>
  </si>
  <si>
    <t>Chọn ngày filter dựa trên ngày thực sự lưu.</t>
  </si>
  <si>
    <t>F_NEW_x</t>
  </si>
  <si>
    <t>Ứng viên Application Initiated</t>
  </si>
  <si>
    <t>Tạo candidate mới với email flow_new_x_[RUN_ID]@example.com cho từng nhánh.</t>
  </si>
  <si>
    <t>FLOW_001–005,016,021–022</t>
  </si>
  <si>
    <t>Không tái dùng F_NEW đã bị Shortlisted/Rejected.</t>
  </si>
  <si>
    <t>Mỗi test là candidate riêng.</t>
  </si>
  <si>
    <t>F_SHORT_x</t>
  </si>
  <si>
    <t>Ứng viên Shortlisted</t>
  </si>
  <si>
    <t>Tạo mới theo RUN_ID; thực hiện Shortlist trong setup và assert status trước case.</t>
  </si>
  <si>
    <t>FLOW_004,006–015,017–018,020,023</t>
  </si>
  <si>
    <t>Không dùng sau Reject hay Schedule nếu case cần Shortlisted.</t>
  </si>
  <si>
    <t>Không phụ thuộc TC khác.</t>
  </si>
  <si>
    <t>F_REJECT_x</t>
  </si>
  <si>
    <t>Ứng viên Rejected</t>
  </si>
  <si>
    <t>Tạo mới riêng; Reject trong setup, assert Rejected.</t>
  </si>
  <si>
    <t>FLOW_019,024</t>
  </si>
  <si>
    <t>Không dùng để test Shortlist.</t>
  </si>
  <si>
    <t>Trạng thái terminal cần xác nhận.</t>
  </si>
  <si>
    <t>F_SCHED_x</t>
  </si>
  <si>
    <t>Ứng viên đã Schedule Interview</t>
  </si>
  <si>
    <t>Tạo mới; Shortlist→Schedule; lưu Title/Date/Interviewer thực tế.</t>
  </si>
  <si>
    <t>FLOW_025</t>
  </si>
  <si>
    <t>Không làm lại lịch trừ khi có kế hoạch rollback.</t>
  </si>
  <si>
    <t>Đối chiếu History với input.</t>
  </si>
  <si>
    <t>INT_A / INT_B</t>
  </si>
  <si>
    <t>Hai interviewer đang hoạt động</t>
  </si>
  <si>
    <t>Chọn bằng autocomplete, xác nhận hai employee khác nhau và không Deleted.</t>
  </si>
  <si>
    <t>FLOW_006–015,025</t>
  </si>
  <si>
    <t>Không sửa danh mục Employee của hệ thống.</t>
  </si>
  <si>
    <t>Multi-select cần xác nhận UI.</t>
  </si>
  <si>
    <t>CV_LIMIT</t>
  </si>
  <si>
    <t>Giới hạn file thực tế của demo</t>
  </si>
  <si>
    <t>Đọc hướng dẫn cạnh Select Resume; ghi nguyên văn MB/KiB, quy đổi sang byte trước khi tạo tệp.</t>
  </si>
  <si>
    <t>CAND_013–017</t>
  </si>
  <si>
    <t>Xóa file cục bộ tạm sau run.</t>
  </si>
  <si>
    <t>Không tự suy luận 5 MB từ phiên bản thương mại.</t>
  </si>
  <si>
    <t>CV_FILES</t>
  </si>
  <si>
    <t>resume_run.pdf, resume_run.docx, resume_run.exe, resume_oversize.pdf</t>
  </si>
  <si>
    <t>Sinh file CV giả không chứa dữ liệu cá nhân; kiểm tra MIME, size, tên.</t>
  </si>
  <si>
    <t>Không upload CV thật.</t>
  </si>
  <si>
    <t>Không tải file .exe xuống máy từ nguồn lạ.</t>
  </si>
  <si>
    <t>DATE_WINDOW</t>
  </si>
  <si>
    <t>2026-11-10 / 2026-11-12; filter theo ngày thực tế</t>
  </si>
  <si>
    <t>Interview dùng ngày hợp lệ trong tương lai tại lúc chạy; filter From/To bám theo fixture.</t>
  </si>
  <si>
    <t>FLOW_006–012; CAND_021</t>
  </si>
  <si>
    <t>Không để ngày động gây false failure.</t>
  </si>
  <si>
    <t>Định dạng nhập theo UI, không áp đặt dd/MM/yyyy.</t>
  </si>
  <si>
    <t>EXEC_LOG</t>
  </si>
  <si>
    <t>Evidence: screenshot/log + defect ID</t>
  </si>
  <si>
    <t>Lưu timestamp, browser/version, testcase ID; chụp trước/sau cho Failed.</t>
  </si>
  <si>
    <t>Toàn bộ suite</t>
  </si>
  <si>
    <t>Dữ liệu evidence không chứa PII.</t>
  </si>
  <si>
    <t>Không đánh dấu Passed trước khi có kiểm chứng.</t>
  </si>
  <si>
    <t>Website Demo</t>
  </si>
  <si>
    <t>RECRUIT_VAC — Vacancies</t>
  </si>
  <si>
    <t>https://help.orangehrm.com/hc/en-us/articles/18264958234649-How-to-Create-a-New-Vacancy-in-OrangeHRM</t>
  </si>
  <si>
    <t>RECRUIT_CAND — Candidates</t>
  </si>
  <si>
    <t>https://help.orangehrm.com/hc/en-us/articles/10457315002777-How-To-Add-Candidates-To-Created-Vacancies</t>
  </si>
  <si>
    <t>RECRUIT_CAND / FLOW — Profile &amp; History</t>
  </si>
  <si>
    <t>https://help.orangehrm.com/hc/en-us/articles/10876907600153-How-to-View-and-Manage-a-Candidate-Profile</t>
  </si>
  <si>
    <t>RECRUIT_FLOW — Shortlist / Reject</t>
  </si>
  <si>
    <t>https://help.orangehrm.com/hc/en-us/articles/35482924971673-Usability-Improvements-in-Recruitment-Module</t>
  </si>
  <si>
    <t>https://www.orangehrm.com/assets/Files/Advanced-Recruitment-User-Guide.pdf</t>
  </si>
  <si>
    <t>Tiền kiểm</t>
  </si>
  <si>
    <t>Login thành công; mở được 2 tab Recruitment.</t>
  </si>
  <si>
    <t>Demo có thể reset và bản UI có thể khác tài liệu.</t>
  </si>
  <si>
    <t>Not Started</t>
  </si>
  <si>
    <t>Dữ liệu riêng</t>
  </si>
  <si>
    <t>Lưu ID, email, baseline và ngày; kiểm tra không trùng.</t>
  </si>
  <si>
    <t>Không sửa Job Title/Employee đang dùng chung.</t>
  </si>
  <si>
    <t>Chọn công cụ</t>
  </si>
  <si>
    <t>Chạy smoke mở Recruitment và truy cập cả 2 tab.</t>
  </si>
  <si>
    <t>Chạy browser theo cùng phiên bản trong nhóm.</t>
  </si>
  <si>
    <t>Cấu trúc repo</t>
  </si>
  <si>
    <t>Tên mỗi test chứa TC_RECRUIT_*; trace từ testcase tới source.</t>
  </si>
  <si>
    <t>Mỗi thành viên chỉ sửa thư mục/module được giao.</t>
  </si>
  <si>
    <t>Page Objects</t>
  </si>
  <si>
    <t>Locator bằng role/label/test-id; wait trạng thái UI; không lạm dụng sleep.</t>
  </si>
  <si>
    <t>Tách methods thao tác với assertions.</t>
  </si>
  <si>
    <t>Vacancies Smoke</t>
  </si>
  <si>
    <t>Assert validation, persist sau reload, trạng thái checkbox và dòng filter.</t>
  </si>
  <si>
    <t>Trước khi chạy biên 0/-1 cần xác nhận rule.</t>
  </si>
  <si>
    <t>Candidates Smoke</t>
  </si>
  <si>
    <t>Assert email/name, validation, upload file, filter/reset và dữ liệu sửa.</t>
  </si>
  <si>
    <t>Đọc CV_LIMIT từ UI trước khi tạo oversize file.</t>
  </si>
  <si>
    <t>Workflow Smoke</t>
  </si>
  <si>
    <t>Assert status theo từng bước, Interview details và History.</t>
  </si>
  <si>
    <t>Mỗi nhánh dùng candidate fixture độc lập.</t>
  </si>
  <si>
    <t>Case cần xác minh</t>
  </si>
  <si>
    <t>Ghi chính xác tên field, boundary, quyền và hành vi trên demo.</t>
  </si>
  <si>
    <t>Nếu không hỗ trợ/không setup được: Blocked + lý do.</t>
  </si>
  <si>
    <t>Đồng bộ và cô lập</t>
  </si>
  <si>
    <t>Không dùng wait cố định quá dài; không dùng dữ liệu từ test trước.</t>
  </si>
  <si>
    <t>Fixture cleanup trong afterEach hoặc lệnh reset.</t>
  </si>
  <si>
    <t>Chạy &amp; report</t>
  </si>
  <si>
    <t>Actual, result, date, environment, defect ID, evidence link được điền vào Excel.</t>
  </si>
  <si>
    <t>Chưa có kết quả execution tại thời điểm lập plan.</t>
  </si>
  <si>
    <t>Git &amp; nộp</t>
  </si>
  <si>
    <t>Ảnh chứa branch, commit, push thành công, PR/merge; repo public và link mở được.</t>
  </si>
  <si>
    <t>Không thể xác minh link GitHub khi chưa được nhóm cung cấp.</t>
  </si>
  <si>
    <t>Regressions</t>
  </si>
  <si>
    <t>Kết quả test report và fixture cleanup trọn vẹn.</t>
  </si>
  <si>
    <t>Ghi log của từng lần chạy; không sửa báo cáo người khác.</t>
  </si>
  <si>
    <t>Kiểm tra URL demo, tài khoản Admin, quyền Recruitment, browser/version và giới hạn upload.</t>
  </si>
  <si>
    <t>Tạo RUN_ID; tạo JOB_A/MANAGER_A/B (hoặc chọn sẵn), VAC_A và fixture filter, CV giả.</t>
  </si>
  <si>
    <t>Dùng Playwright (TypeScript/JavaScript) cho project chung; nếu nhóm chọn Katalon thì thống nhất một framework.</t>
  </si>
  <si>
    <t>tests/recruitment/vacancies.spec.ts; candidates.spec.ts; workflow.spec.ts; pages/; fixtures/; evidence/.</t>
  </si>
  <si>
    <t>Bọc locator cho Vacancies list/add/edit, Candidates list/detail, Schedule Interview, Candidate History.</t>
  </si>
  <si>
    <t>Automate VAC_001, 003–005, 008, 012–014, 016–021, 022–025.</t>
  </si>
  <si>
    <t>Automate CAND_001–005, 008–010, 013–016, 018–025.</t>
  </si>
  <si>
    <t>Automate FLOW_001–009, 012–013, 016–018, 020–025.</t>
  </si>
  <si>
    <t>Kiểm tra real UI trước khi chốt expected: VAC_006/009/010, CAND_006/007/011/016, FLOW_011/014/019.</t>
  </si>
  <si>
    <t>Dùng expect().toBeVisible/toHaveText, auto-wait; chạy serial chỉ khi có ràng buộc thật.</t>
  </si>
  <si>
    <t>npm ci → npx playwright test tests/recruitment → playwright show-report; lưu screenshot/trace khi fail.</t>
  </si>
  <si>
    <t>Tạo nhánh feature/recruitment-[MaSV]; commit xlsx+plan; push; PR→dev, nhóm trưởng gộp.</t>
  </si>
  <si>
    <t>Chạy lại suite sau merge; kiểm tra không ảnh hưởng test case của thành viên khác.</t>
  </si>
  <si>
    <t>OrangeHRM Open Source Demo; Admin; trình duyệt và Katalon Recorder.</t>
  </si>
  <si>
    <t>Môi trường kiểm thử trực tiếp</t>
  </si>
  <si>
    <t>Tạo vacancy, Job Title, Hiring Manager, mô tả, cấu hình/publish, bộ lọc danh sách</t>
  </si>
  <si>
    <t>Tạo candidate, tên/email, liên kết vacancy, tải CV và lọc danh sách</t>
  </si>
  <si>
    <t>Xem/sửa hồ sơ, resume, notes, thay đổi giai đoạn và Candidate History/Audit Logs</t>
  </si>
  <si>
    <t>Các hành động Shortlist/Reject và thay đổi giai đoạn candidate</t>
  </si>
  <si>
    <t>RECRUIT_FLOW — Schedule Interview</t>
  </si>
  <si>
    <t xml:space="preserve"> Shortlist, Reject, Schedule Interview và history</t>
  </si>
  <si>
    <t>VAC_FILTER_A xuất hiện; toàn bộ kết quả thuộc QA Engineer.</t>
  </si>
  <si>
    <t>Tiền điều kiện: Đã đăng nhập Admin/Recruitment; có QA Engineer, NVThangA101 hợp lệ; dữ liệu khác biệt theo RUN_ID.
Input: Name=VAC_RUN01; Job Title=QA Engineer; Hiring Manager=NVThangA101; Positions=1
1. Vào Recruitment &gt; Vacancies &gt; Add.
2. Điền tên, chọn QA Engineer, chọn NVThangA101 qua suggestion; Positions=1.
3. Save, tìm VAC_RUN01 và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</si>
  <si>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Name=VAC_RUN02; QA Engineer; NVThangA101; Positions=3; Description=QA automation; Active=On; Publish=On
1. Mở Add Vacancy.
2. Điền tất cả các trường và bật hai checkbox.
3. Save; tìm lại VAC_RUN02, mở edit.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</si>
  <si>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Name=VAC_RUN03; Job Title trống; Manager=NVThangA101
1. Mở Add Vacancy; điền tên, manager và để Job Title rỗng.
2. Bấm Save; kiểm tra lỗi và tìm tên.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</si>
  <si>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 rỗng; QA Engineer; NVThangA101
1. Mở Add Vacancy; chọn QA Engineer, NVThangA101 và để trống Name.
2. Bấm Save; quan sát validation.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</si>
  <si>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Name=VAC_RUN05; QA Engineer; Manager trống
1. Mở Add Vacancy; điền Name và QA Engineer nhưng không chọn Manager.
2. Bấm Save; kiểm tra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</si>
  <si>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Name='   '; QA Engineer; NVThangA101
1. Mở Add Vacancy; nhập 3 dấu cách tại Name.
2. Bấm Save, tìm bản ghi nếu cần.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</si>
  <si>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Name=VAC_RUN07; gõ tiền tố NVThangA101, chọn suggestion chính xác
1. Mở Add Vacancy, điền Name và QA Engineer.
2. Gõ một phần NVThangA101, chọn đúng suggestion; Save.
3. Mở lại bản ghi.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</si>
  <si>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Name=VAC_RUN08; Positions=1
1. Mở Add, nhập đủ trường và Positions=1.
2. Save rồi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</si>
  <si>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Name=VAC_RUN09; Positions=0
1. Mở Add, nhập đủ trường và Positions=0.
2. Save; xem validation và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</si>
  <si>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Name=VAC_RUN10; Positions=-1
1. Mở Add, nhập đủ trường và -1 vào Positions.
2. Save; quan sát lỗi.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</si>
  <si>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Name=VAC_RUN11; Positions='abc'
1. Mở Add, điền Name/QA Engineer/NVThangA101.
2. Nhập hoặc paste 'abc' vào Positions; Save.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</si>
  <si>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Name=VAC_RUN12; Active=On; Publish=Off
1. Mở Add, điền đủ trường.
2. Bật Active, tắt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</si>
  <si>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Name=VAC_RUN13; Active=Off; Publish=Off
1. Mở Add, nhập đủ trường.
2. Tắt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</si>
  <si>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Name=VAC_RUN14; Active=On; Publish=On
1. Mở Add, nhập đủ trường.
2. Bật Active và Publish; Save; mở lại.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</si>
  <si>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Active=On→Off→On
1. Mở VAC_EDIT (Active=On).
2. Đổi Off, Save và reload.
3. Đổi lại On, Save và reload.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</si>
  <si>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Engineer; VAC_FILTER_A thuộc QA Engineer
1. Vào Vacancies; chọn Job Title=QA Engineer, Search.
2. Kiểm tra tên và Job Title trên từng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</si>
  <si>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NVThangA101; VAC_FILTER_A thuộc NVThangA101
1. Mở Vacancies, chọn Manager=NVThangA101, Search.
2. Kiểm tra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</si>
  <si>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VAC_FILTER_A
1. Mở Vacancies, nhập/chọn đúng Vacancy Name=VAC_FILTER_A.
2. Search.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</si>
  <si>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Mở Vacancies; chọn QA Engineer và NVThangA101.
2. Search; đối chiếu mỗi dòng.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</si>
  <si>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VAC_NOT_EXIST_RUN
1. Tìm tên vacancy được bảo đảm chưa tồn tại.
2. Search; quan sát bảng.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</si>
  <si>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QA Engineer + NVThangA101
1. Áp dụng hai bộ lọc, Search.
2. Nhấn Reset.
3. Kiểm tra input và danh sách.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</si>
  <si>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Description cũ→'Description updated RUN'
1. Ghi baseline của VAC_EDIT; mở edit.
2. Đổi Description, Save.
3. Reload, đối chiếu.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</si>
  <si>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Name=VAC_CANCEL_RUN; QA Engineer; NVThangA101
1. Mở Add, điền đầy đủ và chưa Save.
2. Nhấn Cancel, trở lại danh sách.
3. Tìm VAC_CANCEL_RUN.
Kết thúc: khôi phục / dọn dẹp fixture theo Test Data; không dùng bản ghi của người khác.</t>
  </si>
  <si>
    <t>Tiền điều kiện: Đã đăng nhập Admin/Recruitment; có QA Engineer, NVThangA101 hợp lệ; dữ liệu khác biệt theo RUN_ID.
Input: VAC_EDIT; Name tạm='VAC_UNSAVED_RUN'
1. Ghi baseline; mở edit và đổi Name.
2. Nhấn Cancel trước Save.
3. Mở lại VAC_EDIT.
Kết thúc: khôi phục / dọn dẹp fixture theo Test Data; không dùng bản ghi của người khác.</t>
  </si>
  <si>
    <t>G01_23130299_R01</t>
  </si>
  <si>
    <t>Tiền điều kiện: Đã đăng nhập Admin/Recruitment; có QA Engineer, NVThangA101 hợp lệ; dữ liệu khác biệt theo RUN_ID.
Input: VAC_EDIT; Positions=4; NNLinhB201
1. Mở VAC_EDIT; chỉnh Positions=4, chọn NNLinhB201.
2. Save rồi reload.
Kết thúc: khôi phục / dọn dẹp fixture theo Test Data; không dùng bản ghi của người khác.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</si>
</sst>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rgb="FF000000"/>
      <name val="Carlito"/>
      <scheme val="minor"/>
    </font>
    <font>
      <b/>
      <sz val="10"/>
      <color rgb="FFFFFFFF"/>
      <name val="Tahoma"/>
    </font>
    <font>
      <sz val="10"/>
      <color rgb="FF172033"/>
      <name val="Tahoma"/>
    </font>
    <font>
      <b/>
      <sz val="16"/>
      <color rgb="FF111111"/>
      <name val="Tahoma"/>
    </font>
    <font>
      <b/>
      <sz val="10"/>
      <color rgb="FF172033"/>
      <name val="Tahoma"/>
    </font>
    <font>
      <sz val="11"/>
      <name val="Carlito"/>
    </font>
    <font>
      <sz val="10"/>
      <color rgb="FF172033"/>
      <name val="Tahoma"/>
      <family val="2"/>
    </font>
    <font>
      <u/>
      <sz val="11"/>
      <color theme="10"/>
      <name val="Carlito"/>
      <scheme val="minor"/>
    </font>
    <font>
      <b/>
      <sz val="16"/>
      <color rgb="FF11111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EAF0F8"/>
      </patternFill>
    </fill>
    <fill>
      <patternFill patternType="solid">
        <fgColor rgb="FFFFF6D5"/>
      </patternFill>
    </fill>
    <fill>
      <patternFill patternType="solid">
        <fgColor rgb="FFF4F7F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667085"/>
      </left>
      <right style="thin">
        <color rgb="FF667085"/>
      </right>
      <top style="thin">
        <color rgb="FF667085"/>
      </top>
      <bottom style="thin">
        <color rgb="FF667085"/>
      </bottom>
      <diagonal/>
    </border>
    <border>
      <left/>
      <right style="thin">
        <color rgb="FF667085"/>
      </right>
      <top style="thin">
        <color rgb="FF667085"/>
      </top>
      <bottom style="thin">
        <color rgb="FF6670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1"/>
    <xf numFmtId="0" fontId="7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14" fontId="2" fillId="0" borderId="2" xfId="0" applyNumberFormat="1" applyFont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0" fillId="0" borderId="2" xfId="0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5" fillId="0" borderId="2" xfId="0" applyFont="1" applyBorder="1"/>
    <xf numFmtId="0" fontId="4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0" fontId="2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164" fontId="2" fillId="0" borderId="2" xfId="0" applyNumberFormat="1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top" wrapText="1"/>
    </xf>
    <xf numFmtId="0" fontId="2" fillId="5" borderId="3" xfId="0" applyFont="1" applyFill="1" applyBorder="1" applyAlignment="1">
      <alignment vertical="top" wrapText="1"/>
    </xf>
    <xf numFmtId="0" fontId="0" fillId="0" borderId="1" xfId="0" applyBorder="1"/>
    <xf numFmtId="0" fontId="6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top" wrapText="1"/>
    </xf>
    <xf numFmtId="0" fontId="2" fillId="5" borderId="4" xfId="0" applyFont="1" applyFill="1" applyBorder="1" applyAlignment="1">
      <alignment vertical="top" wrapText="1"/>
    </xf>
    <xf numFmtId="0" fontId="2" fillId="0" borderId="5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7" fillId="0" borderId="2" xfId="2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6" fillId="5" borderId="2" xfId="0" applyFont="1" applyFill="1" applyBorder="1" applyAlignment="1">
      <alignment vertical="top" wrapText="1"/>
    </xf>
  </cellXfs>
  <cellStyles count="3">
    <cellStyle name="Hyperlink" xfId="2" builtinId="8"/>
    <cellStyle name="Normal" xfId="0" builtinId="0"/>
    <cellStyle name="Normal 2" xfId="1" xr:uid="{BA7E7360-1265-45E6-A2FE-F218883DFA75}"/>
  </cellStyles>
  <dxfs count="12"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  <dxf>
      <font>
        <b/>
        <color rgb="FF525E6D"/>
      </font>
      <fill>
        <patternFill>
          <bgColor rgb="FFECEFF3"/>
        </patternFill>
      </fill>
    </dxf>
    <dxf>
      <font>
        <b/>
        <color rgb="FF805A00"/>
      </font>
      <fill>
        <patternFill>
          <bgColor rgb="FFFFF0CE"/>
        </patternFill>
      </fill>
    </dxf>
    <dxf>
      <font>
        <b/>
        <color rgb="FFA52323"/>
      </font>
      <fill>
        <patternFill>
          <bgColor rgb="FFFCE8E6"/>
        </patternFill>
      </fill>
    </dxf>
    <dxf>
      <font>
        <b/>
        <color rgb="FF20603A"/>
      </font>
      <fill>
        <patternFill>
          <bgColor rgb="FFE7F2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help.orangehrm.com/hc/en-us/articles/10457315002777-How-To-Add-Candidates-To-Created-Vacancies" TargetMode="External"/><Relationship Id="rId2" Type="http://schemas.openxmlformats.org/officeDocument/2006/relationships/hyperlink" Target="https://help.orangehrm.com/hc/en-us/articles/18264958234649-How-to-Create-a-New-Vacancy-in-OrangeHRM" TargetMode="External"/><Relationship Id="rId1" Type="http://schemas.openxmlformats.org/officeDocument/2006/relationships/hyperlink" Target="https://opensource-demo.orangehrmlive.com/" TargetMode="External"/><Relationship Id="rId6" Type="http://schemas.openxmlformats.org/officeDocument/2006/relationships/hyperlink" Target="https://www.orangehrm.com/assets/Files/Advanced-Recruitment-User-Guide.pdf" TargetMode="External"/><Relationship Id="rId5" Type="http://schemas.openxmlformats.org/officeDocument/2006/relationships/hyperlink" Target="https://help.orangehrm.com/hc/en-us/articles/35482924971673-Usability-Improvements-in-Recruitment-Module" TargetMode="External"/><Relationship Id="rId4" Type="http://schemas.openxmlformats.org/officeDocument/2006/relationships/hyperlink" Target="https://help.orangehrm.com/hc/en-us/articles/10876907600153-How-to-View-and-Manage-a-Candidate-Profi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0"/>
  <sheetViews>
    <sheetView showGridLines="0" workbookViewId="0">
      <selection activeCell="G5" sqref="G5"/>
    </sheetView>
  </sheetViews>
  <sheetFormatPr defaultColWidth="12.59765625" defaultRowHeight="13.8"/>
  <cols>
    <col min="1" max="1" width="3" customWidth="1"/>
    <col min="2" max="2" width="22" customWidth="1"/>
    <col min="3" max="4" width="20" customWidth="1"/>
    <col min="5" max="5" width="15" customWidth="1"/>
    <col min="6" max="6" width="24" customWidth="1"/>
    <col min="7" max="7" width="34" customWidth="1"/>
    <col min="8" max="8" width="12" customWidth="1"/>
    <col min="9" max="26" width="8.59765625" customWidth="1"/>
  </cols>
  <sheetData>
    <row r="2" spans="2:8" ht="42" customHeight="1">
      <c r="B2" s="16" t="s">
        <v>0</v>
      </c>
      <c r="C2" s="17"/>
      <c r="D2" s="17"/>
      <c r="E2" s="17"/>
      <c r="F2" s="17"/>
      <c r="G2" s="17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3" t="s">
        <v>1</v>
      </c>
      <c r="C4" s="14" t="s">
        <v>93</v>
      </c>
      <c r="D4" s="18"/>
      <c r="E4" s="18"/>
      <c r="F4" s="3" t="s">
        <v>2</v>
      </c>
      <c r="G4" s="4" t="s">
        <v>88</v>
      </c>
      <c r="H4" s="1"/>
    </row>
    <row r="5" spans="2:8" ht="34.049999999999997" customHeight="1">
      <c r="B5" s="3" t="s">
        <v>3</v>
      </c>
      <c r="C5" s="14" t="s">
        <v>4</v>
      </c>
      <c r="D5" s="18"/>
      <c r="E5" s="18"/>
      <c r="F5" s="3" t="s">
        <v>5</v>
      </c>
      <c r="G5" s="4" t="s">
        <v>87</v>
      </c>
      <c r="H5" s="1"/>
    </row>
    <row r="6" spans="2:8">
      <c r="B6" s="19" t="s">
        <v>6</v>
      </c>
      <c r="C6" s="14" t="s">
        <v>92</v>
      </c>
      <c r="D6" s="18"/>
      <c r="E6" s="18"/>
      <c r="F6" s="3" t="s">
        <v>7</v>
      </c>
      <c r="G6" s="5"/>
      <c r="H6" s="1"/>
    </row>
    <row r="7" spans="2:8">
      <c r="B7" s="18"/>
      <c r="C7" s="18"/>
      <c r="D7" s="18"/>
      <c r="E7" s="18"/>
      <c r="F7" s="3" t="s">
        <v>8</v>
      </c>
      <c r="G7" s="4" t="s">
        <v>9</v>
      </c>
      <c r="H7" s="1"/>
    </row>
    <row r="8" spans="2:8">
      <c r="B8" s="1"/>
      <c r="C8" s="1"/>
      <c r="D8" s="1"/>
      <c r="E8" s="1"/>
      <c r="F8" s="1"/>
      <c r="G8" s="1"/>
      <c r="H8" s="1"/>
    </row>
    <row r="9" spans="2:8">
      <c r="B9" s="1"/>
      <c r="C9" s="1"/>
      <c r="D9" s="1"/>
      <c r="E9" s="1"/>
      <c r="F9" s="1"/>
      <c r="G9" s="1"/>
      <c r="H9" s="1"/>
    </row>
    <row r="10" spans="2:8">
      <c r="B10" s="2" t="s">
        <v>10</v>
      </c>
      <c r="C10" s="1"/>
      <c r="D10" s="1"/>
      <c r="E10" s="1"/>
      <c r="F10" s="1"/>
      <c r="G10" s="1"/>
      <c r="H10" s="1"/>
    </row>
    <row r="11" spans="2:8" ht="45.75" customHeight="1">
      <c r="B11" s="6" t="s">
        <v>11</v>
      </c>
      <c r="C11" s="6" t="s">
        <v>8</v>
      </c>
      <c r="D11" s="6" t="s">
        <v>12</v>
      </c>
      <c r="E11" s="6" t="s">
        <v>13</v>
      </c>
      <c r="F11" s="6" t="s">
        <v>14</v>
      </c>
      <c r="G11" s="6" t="s">
        <v>15</v>
      </c>
      <c r="H11" s="1"/>
    </row>
    <row r="12" spans="2:8" ht="45.75" customHeight="1">
      <c r="B12" s="5"/>
      <c r="C12" s="4" t="s">
        <v>9</v>
      </c>
      <c r="D12" s="4" t="s">
        <v>90</v>
      </c>
      <c r="E12" s="4" t="s">
        <v>16</v>
      </c>
      <c r="F12" s="4" t="s">
        <v>91</v>
      </c>
      <c r="G12" s="4" t="s">
        <v>17</v>
      </c>
      <c r="H12" s="1"/>
    </row>
    <row r="13" spans="2:8">
      <c r="B13" s="1"/>
      <c r="C13" s="1"/>
      <c r="D13" s="1"/>
      <c r="E13" s="1"/>
      <c r="F13" s="1"/>
      <c r="G13" s="1"/>
      <c r="H13" s="1"/>
    </row>
    <row r="14" spans="2:8">
      <c r="B14" s="1"/>
      <c r="C14" s="1"/>
      <c r="D14" s="1"/>
      <c r="E14" s="1"/>
      <c r="F14" s="1"/>
      <c r="G14" s="1"/>
      <c r="H14" s="1"/>
    </row>
    <row r="15" spans="2:8" ht="24.75" customHeight="1">
      <c r="B15" s="3" t="s">
        <v>18</v>
      </c>
      <c r="C15" s="20">
        <v>23130299</v>
      </c>
      <c r="D15" s="21"/>
      <c r="E15" s="21"/>
      <c r="F15" s="21"/>
      <c r="G15" s="21"/>
      <c r="H15" s="1"/>
    </row>
    <row r="16" spans="2:8" ht="24.75" customHeight="1">
      <c r="B16" s="3" t="s">
        <v>19</v>
      </c>
      <c r="C16" s="14" t="s">
        <v>20</v>
      </c>
      <c r="D16" s="15"/>
      <c r="E16" s="15"/>
      <c r="F16" s="15"/>
      <c r="G16" s="15"/>
      <c r="H16" s="1"/>
    </row>
    <row r="17" spans="2:8" ht="24.75" customHeight="1">
      <c r="B17" s="3" t="s">
        <v>21</v>
      </c>
      <c r="C17" s="14" t="s">
        <v>89</v>
      </c>
      <c r="D17" s="15"/>
      <c r="E17" s="15"/>
      <c r="F17" s="15"/>
      <c r="G17" s="15"/>
      <c r="H17" s="1"/>
    </row>
    <row r="18" spans="2:8" ht="24.75" customHeight="1">
      <c r="B18" s="3" t="s">
        <v>22</v>
      </c>
      <c r="C18" s="14" t="s">
        <v>23</v>
      </c>
      <c r="D18" s="15"/>
      <c r="E18" s="15"/>
      <c r="F18" s="15"/>
      <c r="G18" s="15"/>
      <c r="H18" s="1"/>
    </row>
    <row r="19" spans="2:8" ht="24.75" customHeight="1">
      <c r="B19" s="3" t="s">
        <v>24</v>
      </c>
      <c r="C19" s="14" t="s">
        <v>94</v>
      </c>
      <c r="D19" s="15"/>
      <c r="E19" s="15"/>
      <c r="F19" s="15"/>
      <c r="G19" s="15"/>
      <c r="H19" s="1"/>
    </row>
    <row r="20" spans="2:8" ht="24.75" customHeight="1">
      <c r="B20" s="3" t="s">
        <v>25</v>
      </c>
      <c r="C20" s="28" t="s">
        <v>95</v>
      </c>
      <c r="D20" s="15"/>
      <c r="E20" s="15"/>
      <c r="F20" s="15"/>
      <c r="G20" s="15"/>
      <c r="H20" s="1"/>
    </row>
    <row r="21" spans="2:8" ht="15.75" customHeight="1">
      <c r="B21" s="1"/>
      <c r="C21" s="1"/>
      <c r="D21" s="1"/>
      <c r="E21" s="1"/>
      <c r="F21" s="1"/>
      <c r="G21" s="1"/>
      <c r="H21" s="1"/>
    </row>
    <row r="22" spans="2:8" ht="15.75" customHeight="1"/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C17:G17"/>
    <mergeCell ref="C18:G18"/>
    <mergeCell ref="C19:G19"/>
    <mergeCell ref="C20:G20"/>
    <mergeCell ref="B2:G2"/>
    <mergeCell ref="C4:E4"/>
    <mergeCell ref="C5:E5"/>
    <mergeCell ref="B6:B7"/>
    <mergeCell ref="C6:E7"/>
    <mergeCell ref="C15:G15"/>
    <mergeCell ref="C16:G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showGridLines="0" workbookViewId="0">
      <pane ySplit="8" topLeftCell="A9" activePane="bottomLeft" state="frozen"/>
      <selection pane="bottomLeft" activeCell="B16" sqref="B16:F16"/>
    </sheetView>
  </sheetViews>
  <sheetFormatPr defaultColWidth="12.59765625" defaultRowHeight="13.8"/>
  <cols>
    <col min="1" max="1" width="3" customWidth="1"/>
    <col min="2" max="2" width="7" customWidth="1"/>
    <col min="3" max="3" width="30" customWidth="1"/>
    <col min="4" max="4" width="24" customWidth="1"/>
    <col min="5" max="5" width="48" customWidth="1"/>
    <col min="6" max="6" width="45" customWidth="1"/>
    <col min="7" max="8" width="10" customWidth="1"/>
    <col min="9" max="26" width="8.59765625" customWidth="1"/>
  </cols>
  <sheetData>
    <row r="2" spans="2:8" ht="42" customHeight="1">
      <c r="B2" s="46" t="s">
        <v>26</v>
      </c>
      <c r="C2" s="17"/>
      <c r="D2" s="17"/>
      <c r="E2" s="17"/>
      <c r="F2" s="17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14" t="s">
        <v>1</v>
      </c>
      <c r="C4" s="15"/>
      <c r="D4" s="14" t="str">
        <f>Cover!C4</f>
        <v>OrangeHRM Recruitment</v>
      </c>
      <c r="E4" s="15"/>
      <c r="F4" s="15"/>
      <c r="G4" s="1"/>
      <c r="H4" s="1"/>
    </row>
    <row r="5" spans="2:8">
      <c r="B5" s="14" t="s">
        <v>3</v>
      </c>
      <c r="C5" s="15"/>
      <c r="D5" s="14" t="str">
        <f>Cover!C5</f>
        <v>Group01_OrangeHRM</v>
      </c>
      <c r="E5" s="15"/>
      <c r="F5" s="15"/>
      <c r="G5" s="1"/>
      <c r="H5" s="1"/>
    </row>
    <row r="6" spans="2:8" ht="37.5" customHeight="1">
      <c r="B6" s="28" t="s">
        <v>27</v>
      </c>
      <c r="C6" s="15"/>
      <c r="D6" s="28" t="s">
        <v>641</v>
      </c>
      <c r="E6" s="15"/>
      <c r="F6" s="15"/>
      <c r="G6" s="1"/>
      <c r="H6" s="1"/>
    </row>
    <row r="7" spans="2:8">
      <c r="B7" s="1"/>
      <c r="C7" s="1"/>
      <c r="D7" s="1"/>
      <c r="E7" s="1"/>
      <c r="F7" s="1"/>
      <c r="G7" s="1"/>
      <c r="H7" s="1"/>
    </row>
    <row r="8" spans="2:8">
      <c r="B8" s="6" t="s">
        <v>28</v>
      </c>
      <c r="C8" s="6" t="s">
        <v>29</v>
      </c>
      <c r="D8" s="6" t="s">
        <v>30</v>
      </c>
      <c r="E8" s="6" t="s">
        <v>31</v>
      </c>
      <c r="F8" s="6" t="s">
        <v>32</v>
      </c>
      <c r="G8" s="1"/>
      <c r="H8" s="1"/>
    </row>
    <row r="9" spans="2:8" ht="73.5" customHeight="1">
      <c r="B9" s="4">
        <v>1</v>
      </c>
      <c r="C9" s="4" t="s">
        <v>96</v>
      </c>
      <c r="D9" s="4" t="s">
        <v>100</v>
      </c>
      <c r="E9" s="4" t="s">
        <v>103</v>
      </c>
      <c r="F9" s="4" t="s">
        <v>106</v>
      </c>
      <c r="G9" s="1"/>
      <c r="H9" s="1"/>
    </row>
    <row r="10" spans="2:8" ht="73.5" customHeight="1">
      <c r="B10" s="4">
        <v>2</v>
      </c>
      <c r="C10" s="4" t="s">
        <v>97</v>
      </c>
      <c r="D10" s="4" t="s">
        <v>101</v>
      </c>
      <c r="E10" s="4" t="s">
        <v>104</v>
      </c>
      <c r="F10" s="4" t="s">
        <v>107</v>
      </c>
      <c r="G10" s="1"/>
      <c r="H10" s="1"/>
    </row>
    <row r="11" spans="2:8" ht="73.5" customHeight="1">
      <c r="B11" s="4">
        <v>3</v>
      </c>
      <c r="C11" s="29" t="s">
        <v>98</v>
      </c>
      <c r="D11" s="4" t="s">
        <v>102</v>
      </c>
      <c r="E11" s="4" t="s">
        <v>105</v>
      </c>
      <c r="F11" s="4" t="s">
        <v>108</v>
      </c>
      <c r="G11" s="1"/>
      <c r="H11" s="1"/>
    </row>
    <row r="12" spans="2:8">
      <c r="B12" s="1"/>
      <c r="C12" s="1"/>
      <c r="D12" s="1"/>
      <c r="E12" s="1"/>
      <c r="F12" s="1"/>
      <c r="G12" s="1"/>
      <c r="H12" s="1"/>
    </row>
    <row r="13" spans="2:8">
      <c r="B13" s="1"/>
      <c r="C13" s="1"/>
      <c r="D13" s="1"/>
      <c r="E13" s="1"/>
      <c r="F13" s="1"/>
      <c r="G13" s="1"/>
      <c r="H13" s="1"/>
    </row>
    <row r="14" spans="2:8" ht="37.5" customHeight="1">
      <c r="B14" s="22"/>
      <c r="C14" s="17"/>
      <c r="D14" s="17"/>
      <c r="E14" s="17"/>
      <c r="F14" s="17"/>
      <c r="G14" s="1"/>
      <c r="H14" s="1"/>
    </row>
    <row r="15" spans="2:8">
      <c r="B15" s="1"/>
      <c r="C15" s="1"/>
      <c r="D15" s="1"/>
      <c r="E15" s="1"/>
      <c r="F15" s="1"/>
      <c r="G15" s="1"/>
      <c r="H15" s="1"/>
    </row>
    <row r="16" spans="2:8" ht="39.75" customHeight="1">
      <c r="B16" s="22"/>
      <c r="C16" s="17"/>
      <c r="D16" s="17"/>
      <c r="E16" s="17"/>
      <c r="F16" s="17"/>
      <c r="G16" s="1"/>
      <c r="H16" s="1"/>
    </row>
    <row r="17" spans="2:8">
      <c r="B17" s="1"/>
      <c r="C17" s="1"/>
      <c r="D17" s="1"/>
      <c r="E17" s="1"/>
      <c r="F17" s="1"/>
      <c r="G17" s="1"/>
      <c r="H17" s="1"/>
    </row>
    <row r="18" spans="2:8">
      <c r="B18" s="1"/>
      <c r="C18" s="1"/>
      <c r="D18" s="1"/>
      <c r="E18" s="1"/>
      <c r="F18" s="1"/>
      <c r="G18" s="1"/>
      <c r="H18" s="1"/>
    </row>
    <row r="21" spans="2:8" ht="15.75" customHeight="1"/>
    <row r="22" spans="2:8" ht="15.75" customHeight="1"/>
    <row r="23" spans="2:8" ht="15.75" customHeight="1"/>
    <row r="24" spans="2:8" ht="15.75" customHeight="1"/>
    <row r="25" spans="2:8" ht="15.75" customHeight="1"/>
    <row r="26" spans="2:8" ht="15.75" customHeight="1"/>
    <row r="27" spans="2:8" ht="15.75" customHeight="1"/>
    <row r="28" spans="2:8" ht="15.75" customHeight="1"/>
    <row r="29" spans="2:8" ht="15.75" customHeight="1"/>
    <row r="30" spans="2:8" ht="15.75" customHeight="1"/>
    <row r="31" spans="2:8" ht="15.75" customHeight="1"/>
    <row r="32" spans="2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4:F14"/>
    <mergeCell ref="B16:F16"/>
    <mergeCell ref="B2:F2"/>
    <mergeCell ref="B4:C4"/>
    <mergeCell ref="D4:F4"/>
    <mergeCell ref="B5:C5"/>
    <mergeCell ref="D5:F5"/>
    <mergeCell ref="B6:C6"/>
    <mergeCell ref="D6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zoomScale="61" zoomScaleNormal="61" workbookViewId="0">
      <pane ySplit="1" topLeftCell="A11" activePane="bottomLeft" state="frozen"/>
      <selection pane="bottomLeft" activeCell="A12" sqref="A12"/>
    </sheetView>
  </sheetViews>
  <sheetFormatPr defaultColWidth="12.59765625" defaultRowHeight="13.8"/>
  <cols>
    <col min="1" max="1" width="18" customWidth="1"/>
    <col min="2" max="2" width="29" customWidth="1"/>
    <col min="3" max="3" width="33" customWidth="1"/>
    <col min="4" max="4" width="68" customWidth="1"/>
    <col min="5" max="5" width="27" customWidth="1"/>
    <col min="6" max="6" width="76" customWidth="1"/>
    <col min="7" max="26" width="8.59765625" customWidth="1"/>
  </cols>
  <sheetData>
    <row r="1" spans="1:8" ht="30" customHeight="1">
      <c r="A1" s="6" t="s">
        <v>36</v>
      </c>
      <c r="B1" s="6" t="s">
        <v>37</v>
      </c>
      <c r="C1" s="6" t="s">
        <v>38</v>
      </c>
      <c r="D1" s="6" t="s">
        <v>39</v>
      </c>
      <c r="E1" s="6" t="s">
        <v>40</v>
      </c>
      <c r="F1" s="6" t="s">
        <v>41</v>
      </c>
      <c r="G1" s="1"/>
      <c r="H1" s="1"/>
    </row>
    <row r="2" spans="1:8" ht="73.5" customHeight="1">
      <c r="A2" s="29" t="s">
        <v>99</v>
      </c>
      <c r="B2" s="4" t="s">
        <v>96</v>
      </c>
      <c r="C2" s="4" t="s">
        <v>109</v>
      </c>
      <c r="D2" s="4" t="s">
        <v>110</v>
      </c>
      <c r="E2" s="4" t="s">
        <v>111</v>
      </c>
      <c r="F2" s="4" t="s">
        <v>112</v>
      </c>
      <c r="G2" s="1"/>
      <c r="H2" s="1"/>
    </row>
    <row r="3" spans="1:8" ht="138" customHeight="1">
      <c r="A3" s="4" t="s">
        <v>99</v>
      </c>
      <c r="B3" s="4" t="s">
        <v>96</v>
      </c>
      <c r="C3" s="4" t="s">
        <v>113</v>
      </c>
      <c r="D3" s="4" t="s">
        <v>114</v>
      </c>
      <c r="E3" s="4" t="s">
        <v>43</v>
      </c>
      <c r="F3" s="4" t="s">
        <v>115</v>
      </c>
      <c r="G3" s="1"/>
      <c r="H3" s="1"/>
    </row>
    <row r="4" spans="1:8" ht="73.5" customHeight="1">
      <c r="A4" s="4" t="s">
        <v>99</v>
      </c>
      <c r="B4" s="4" t="s">
        <v>96</v>
      </c>
      <c r="C4" s="4" t="s">
        <v>116</v>
      </c>
      <c r="D4" s="4" t="s">
        <v>117</v>
      </c>
      <c r="E4" s="4" t="s">
        <v>118</v>
      </c>
      <c r="F4" s="4" t="s">
        <v>119</v>
      </c>
      <c r="G4" s="1"/>
      <c r="H4" s="1"/>
    </row>
    <row r="5" spans="1:8" ht="78" customHeight="1">
      <c r="A5" s="4" t="s">
        <v>99</v>
      </c>
      <c r="B5" s="4" t="s">
        <v>96</v>
      </c>
      <c r="C5" s="4" t="s">
        <v>120</v>
      </c>
      <c r="D5" s="4" t="s">
        <v>121</v>
      </c>
      <c r="E5" s="4" t="s">
        <v>122</v>
      </c>
      <c r="F5" s="4" t="s">
        <v>123</v>
      </c>
      <c r="G5" s="1"/>
      <c r="H5" s="1"/>
    </row>
    <row r="6" spans="1:8" ht="102" customHeight="1">
      <c r="A6" s="4" t="s">
        <v>99</v>
      </c>
      <c r="B6" s="4" t="s">
        <v>96</v>
      </c>
      <c r="C6" s="4" t="s">
        <v>124</v>
      </c>
      <c r="D6" s="4" t="s">
        <v>125</v>
      </c>
      <c r="E6" s="4" t="s">
        <v>118</v>
      </c>
      <c r="F6" s="4" t="s">
        <v>126</v>
      </c>
      <c r="G6" s="1"/>
      <c r="H6" s="1"/>
    </row>
    <row r="7" spans="1:8" ht="78" customHeight="1">
      <c r="A7" s="29" t="s">
        <v>127</v>
      </c>
      <c r="B7" s="4" t="s">
        <v>97</v>
      </c>
      <c r="C7" s="4" t="s">
        <v>128</v>
      </c>
      <c r="D7" s="4" t="s">
        <v>129</v>
      </c>
      <c r="E7" s="4" t="s">
        <v>42</v>
      </c>
      <c r="F7" s="4" t="s">
        <v>130</v>
      </c>
      <c r="G7" s="1"/>
      <c r="H7" s="1"/>
    </row>
    <row r="8" spans="1:8" ht="102" customHeight="1">
      <c r="A8" s="4" t="s">
        <v>127</v>
      </c>
      <c r="B8" s="4" t="s">
        <v>97</v>
      </c>
      <c r="C8" s="4" t="s">
        <v>131</v>
      </c>
      <c r="D8" s="4" t="s">
        <v>132</v>
      </c>
      <c r="E8" s="4" t="s">
        <v>42</v>
      </c>
      <c r="F8" s="4" t="s">
        <v>133</v>
      </c>
      <c r="G8" s="1"/>
      <c r="H8" s="1"/>
    </row>
    <row r="9" spans="1:8" ht="102" customHeight="1">
      <c r="A9" s="4" t="s">
        <v>127</v>
      </c>
      <c r="B9" s="4" t="s">
        <v>97</v>
      </c>
      <c r="C9" s="4" t="s">
        <v>134</v>
      </c>
      <c r="D9" s="4" t="s">
        <v>135</v>
      </c>
      <c r="E9" s="4" t="s">
        <v>136</v>
      </c>
      <c r="F9" s="4" t="s">
        <v>137</v>
      </c>
      <c r="G9" s="1"/>
      <c r="H9" s="1"/>
    </row>
    <row r="10" spans="1:8" ht="78" customHeight="1">
      <c r="A10" s="4" t="s">
        <v>127</v>
      </c>
      <c r="B10" s="4" t="s">
        <v>97</v>
      </c>
      <c r="C10" s="4" t="s">
        <v>138</v>
      </c>
      <c r="D10" s="4" t="s">
        <v>139</v>
      </c>
      <c r="E10" s="4" t="s">
        <v>122</v>
      </c>
      <c r="F10" s="4" t="s">
        <v>140</v>
      </c>
      <c r="G10" s="1"/>
      <c r="H10" s="1"/>
    </row>
    <row r="11" spans="1:8" ht="90" customHeight="1">
      <c r="A11" s="4" t="s">
        <v>127</v>
      </c>
      <c r="B11" s="4" t="s">
        <v>97</v>
      </c>
      <c r="C11" s="4" t="s">
        <v>141</v>
      </c>
      <c r="D11" s="4" t="s">
        <v>142</v>
      </c>
      <c r="E11" s="4" t="s">
        <v>118</v>
      </c>
      <c r="F11" s="4" t="s">
        <v>143</v>
      </c>
      <c r="G11" s="1"/>
      <c r="H11" s="1"/>
    </row>
    <row r="12" spans="1:8" ht="73.5" customHeight="1">
      <c r="A12" s="29" t="s">
        <v>144</v>
      </c>
      <c r="B12" s="4" t="s">
        <v>98</v>
      </c>
      <c r="C12" s="4" t="s">
        <v>145</v>
      </c>
      <c r="D12" s="4" t="s">
        <v>146</v>
      </c>
      <c r="E12" s="4" t="s">
        <v>118</v>
      </c>
      <c r="F12" s="4" t="s">
        <v>147</v>
      </c>
      <c r="G12" s="1"/>
      <c r="H12" s="1"/>
    </row>
    <row r="13" spans="1:8" ht="102" customHeight="1">
      <c r="A13" s="4" t="s">
        <v>144</v>
      </c>
      <c r="B13" s="4" t="s">
        <v>98</v>
      </c>
      <c r="C13" s="4" t="s">
        <v>148</v>
      </c>
      <c r="D13" s="4" t="s">
        <v>149</v>
      </c>
      <c r="E13" s="4" t="s">
        <v>150</v>
      </c>
      <c r="F13" s="4" t="s">
        <v>151</v>
      </c>
      <c r="G13" s="1"/>
      <c r="H13" s="1"/>
    </row>
    <row r="14" spans="1:8" ht="73.5" customHeight="1">
      <c r="A14" s="4" t="s">
        <v>144</v>
      </c>
      <c r="B14" s="4" t="s">
        <v>98</v>
      </c>
      <c r="C14" s="4" t="s">
        <v>152</v>
      </c>
      <c r="D14" s="4" t="s">
        <v>153</v>
      </c>
      <c r="E14" s="4" t="s">
        <v>154</v>
      </c>
      <c r="F14" s="4" t="s">
        <v>155</v>
      </c>
      <c r="G14" s="1"/>
      <c r="H14" s="1"/>
    </row>
    <row r="15" spans="1:8" ht="90" customHeight="1">
      <c r="A15" s="4" t="s">
        <v>144</v>
      </c>
      <c r="B15" s="4" t="s">
        <v>98</v>
      </c>
      <c r="C15" s="4" t="s">
        <v>156</v>
      </c>
      <c r="D15" s="4" t="s">
        <v>157</v>
      </c>
      <c r="E15" s="4" t="s">
        <v>118</v>
      </c>
      <c r="F15" s="4" t="s">
        <v>158</v>
      </c>
      <c r="G15" s="1"/>
      <c r="H15" s="1"/>
    </row>
    <row r="16" spans="1:8" ht="138" customHeight="1">
      <c r="A16" s="4" t="s">
        <v>144</v>
      </c>
      <c r="B16" s="4" t="s">
        <v>98</v>
      </c>
      <c r="C16" s="4" t="s">
        <v>159</v>
      </c>
      <c r="D16" s="4" t="s">
        <v>160</v>
      </c>
      <c r="E16" s="4" t="s">
        <v>118</v>
      </c>
      <c r="F16" s="4" t="s">
        <v>161</v>
      </c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21" spans="1:8" ht="15.75" customHeight="1"/>
    <row r="22" spans="1:8" ht="15.75" customHeight="1"/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H1000"/>
  <sheetViews>
    <sheetView showGridLines="0" zoomScale="80" zoomScaleNormal="80" workbookViewId="0">
      <pane xSplit="1" ySplit="8" topLeftCell="B30" activePane="bottomRight" state="frozen"/>
      <selection pane="topRight"/>
      <selection pane="bottomLeft"/>
      <selection pane="bottomRight" activeCell="C31" sqref="C31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44</v>
      </c>
      <c r="B2" s="28" t="s">
        <v>99</v>
      </c>
      <c r="C2" s="15"/>
      <c r="D2" s="15"/>
      <c r="E2" s="15"/>
      <c r="F2" s="15"/>
      <c r="G2" s="15"/>
      <c r="H2" s="15"/>
    </row>
    <row r="3" spans="1:8">
      <c r="A3" s="3" t="s">
        <v>45</v>
      </c>
      <c r="B3" s="28" t="s">
        <v>96</v>
      </c>
      <c r="C3" s="15"/>
      <c r="D3" s="15"/>
      <c r="E3" s="15"/>
      <c r="F3" s="15"/>
      <c r="G3" s="15"/>
      <c r="H3" s="15"/>
    </row>
    <row r="4" spans="1:8">
      <c r="A4" s="3" t="s">
        <v>46</v>
      </c>
      <c r="B4" s="28" t="s">
        <v>162</v>
      </c>
      <c r="C4" s="15"/>
      <c r="D4" s="15"/>
      <c r="E4" s="15"/>
      <c r="F4" s="15"/>
      <c r="G4" s="15"/>
      <c r="H4" s="15"/>
    </row>
    <row r="5" spans="1:8" ht="24" customHeight="1">
      <c r="A5" s="7" t="s">
        <v>47</v>
      </c>
      <c r="B5" s="7" t="s">
        <v>48</v>
      </c>
      <c r="C5" s="7" t="s">
        <v>49</v>
      </c>
      <c r="D5" s="7" t="s">
        <v>50</v>
      </c>
      <c r="E5" s="7" t="s">
        <v>51</v>
      </c>
      <c r="F5" s="23" t="s">
        <v>52</v>
      </c>
      <c r="G5" s="18"/>
      <c r="H5" s="18"/>
    </row>
    <row r="6" spans="1:8" ht="24" customHeight="1">
      <c r="A6" s="8">
        <f>COUNTIF($F$9:$F$33,"Passed")</f>
        <v>0</v>
      </c>
      <c r="B6" s="8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24">
        <f>COUNTA(A9:A33)</f>
        <v>25</v>
      </c>
      <c r="G6" s="15"/>
      <c r="H6" s="15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53</v>
      </c>
      <c r="B8" s="6" t="s">
        <v>54</v>
      </c>
      <c r="C8" s="6" t="s">
        <v>55</v>
      </c>
      <c r="D8" s="6" t="s">
        <v>56</v>
      </c>
      <c r="E8" s="6" t="s">
        <v>57</v>
      </c>
      <c r="F8" s="6" t="s">
        <v>58</v>
      </c>
      <c r="G8" s="6" t="s">
        <v>59</v>
      </c>
      <c r="H8" s="6" t="s">
        <v>41</v>
      </c>
    </row>
    <row r="9" spans="1:8" ht="139.5" customHeight="1">
      <c r="A9" s="9" t="s">
        <v>163</v>
      </c>
      <c r="B9" s="9" t="s">
        <v>164</v>
      </c>
      <c r="C9" s="48" t="s">
        <v>650</v>
      </c>
      <c r="D9" s="9" t="s">
        <v>165</v>
      </c>
      <c r="E9" s="9" t="s">
        <v>166</v>
      </c>
      <c r="F9" s="10" t="s">
        <v>49</v>
      </c>
      <c r="G9" s="11"/>
      <c r="H9" s="9" t="s">
        <v>167</v>
      </c>
    </row>
    <row r="10" spans="1:8" ht="139.5" customHeight="1">
      <c r="A10" s="12" t="s">
        <v>168</v>
      </c>
      <c r="B10" s="12" t="s">
        <v>169</v>
      </c>
      <c r="C10" s="49" t="s">
        <v>651</v>
      </c>
      <c r="D10" s="12" t="s">
        <v>170</v>
      </c>
      <c r="E10" s="12" t="s">
        <v>166</v>
      </c>
      <c r="F10" s="10" t="s">
        <v>49</v>
      </c>
      <c r="G10" s="11"/>
      <c r="H10" s="9" t="s">
        <v>167</v>
      </c>
    </row>
    <row r="11" spans="1:8" ht="139.5" customHeight="1">
      <c r="A11" s="9" t="s">
        <v>171</v>
      </c>
      <c r="B11" s="9" t="s">
        <v>172</v>
      </c>
      <c r="C11" s="9" t="s">
        <v>652</v>
      </c>
      <c r="D11" s="9" t="s">
        <v>173</v>
      </c>
      <c r="E11" s="9" t="s">
        <v>166</v>
      </c>
      <c r="F11" s="10" t="s">
        <v>49</v>
      </c>
      <c r="G11" s="11"/>
      <c r="H11" s="9" t="s">
        <v>174</v>
      </c>
    </row>
    <row r="12" spans="1:8" ht="139.5" customHeight="1">
      <c r="A12" s="12" t="s">
        <v>175</v>
      </c>
      <c r="B12" s="12" t="s">
        <v>176</v>
      </c>
      <c r="C12" s="12" t="s">
        <v>653</v>
      </c>
      <c r="D12" s="12" t="s">
        <v>177</v>
      </c>
      <c r="E12" s="12" t="s">
        <v>166</v>
      </c>
      <c r="F12" s="10" t="s">
        <v>49</v>
      </c>
      <c r="G12" s="11"/>
      <c r="H12" s="9" t="s">
        <v>174</v>
      </c>
    </row>
    <row r="13" spans="1:8" ht="139.5" customHeight="1">
      <c r="A13" s="9" t="s">
        <v>178</v>
      </c>
      <c r="B13" s="9" t="s">
        <v>179</v>
      </c>
      <c r="C13" s="9" t="s">
        <v>654</v>
      </c>
      <c r="D13" s="9" t="s">
        <v>180</v>
      </c>
      <c r="E13" s="9" t="s">
        <v>166</v>
      </c>
      <c r="F13" s="10" t="s">
        <v>49</v>
      </c>
      <c r="G13" s="11"/>
      <c r="H13" s="9" t="s">
        <v>174</v>
      </c>
    </row>
    <row r="14" spans="1:8" ht="141.75" customHeight="1">
      <c r="A14" s="12" t="s">
        <v>181</v>
      </c>
      <c r="B14" s="12" t="s">
        <v>182</v>
      </c>
      <c r="C14" s="12" t="s">
        <v>655</v>
      </c>
      <c r="D14" s="12" t="s">
        <v>183</v>
      </c>
      <c r="E14" s="12" t="s">
        <v>166</v>
      </c>
      <c r="F14" s="10" t="s">
        <v>49</v>
      </c>
      <c r="G14" s="11"/>
      <c r="H14" s="9" t="s">
        <v>184</v>
      </c>
    </row>
    <row r="15" spans="1:8" ht="141.75" customHeight="1">
      <c r="A15" s="9" t="s">
        <v>185</v>
      </c>
      <c r="B15" s="9" t="s">
        <v>186</v>
      </c>
      <c r="C15" s="9" t="s">
        <v>656</v>
      </c>
      <c r="D15" s="9" t="s">
        <v>187</v>
      </c>
      <c r="E15" s="9" t="s">
        <v>166</v>
      </c>
      <c r="F15" s="10" t="s">
        <v>49</v>
      </c>
      <c r="G15" s="11"/>
      <c r="H15" s="9" t="s">
        <v>188</v>
      </c>
    </row>
    <row r="16" spans="1:8" ht="141.75" customHeight="1">
      <c r="A16" s="12" t="s">
        <v>189</v>
      </c>
      <c r="B16" s="12" t="s">
        <v>190</v>
      </c>
      <c r="C16" s="12" t="s">
        <v>657</v>
      </c>
      <c r="D16" s="12" t="s">
        <v>191</v>
      </c>
      <c r="E16" s="12" t="s">
        <v>166</v>
      </c>
      <c r="F16" s="10" t="s">
        <v>49</v>
      </c>
      <c r="G16" s="11"/>
      <c r="H16" s="9" t="s">
        <v>192</v>
      </c>
    </row>
    <row r="17" spans="1:8" ht="141.75" customHeight="1">
      <c r="A17" s="9" t="s">
        <v>193</v>
      </c>
      <c r="B17" s="9" t="s">
        <v>194</v>
      </c>
      <c r="C17" s="9" t="s">
        <v>658</v>
      </c>
      <c r="D17" s="9" t="s">
        <v>195</v>
      </c>
      <c r="E17" s="9" t="s">
        <v>166</v>
      </c>
      <c r="F17" s="10" t="s">
        <v>49</v>
      </c>
      <c r="G17" s="11"/>
      <c r="H17" s="9" t="s">
        <v>196</v>
      </c>
    </row>
    <row r="18" spans="1:8" ht="141.75" customHeight="1">
      <c r="A18" s="12" t="s">
        <v>197</v>
      </c>
      <c r="B18" s="12" t="s">
        <v>198</v>
      </c>
      <c r="C18" s="12" t="s">
        <v>659</v>
      </c>
      <c r="D18" s="12" t="s">
        <v>199</v>
      </c>
      <c r="E18" s="12" t="s">
        <v>166</v>
      </c>
      <c r="F18" s="10" t="s">
        <v>49</v>
      </c>
      <c r="G18" s="11"/>
      <c r="H18" s="9" t="s">
        <v>200</v>
      </c>
    </row>
    <row r="19" spans="1:8" ht="141.75" customHeight="1">
      <c r="A19" s="9" t="s">
        <v>201</v>
      </c>
      <c r="B19" s="9" t="s">
        <v>202</v>
      </c>
      <c r="C19" s="9" t="s">
        <v>660</v>
      </c>
      <c r="D19" s="9" t="s">
        <v>203</v>
      </c>
      <c r="E19" s="9" t="s">
        <v>166</v>
      </c>
      <c r="F19" s="10" t="s">
        <v>49</v>
      </c>
      <c r="G19" s="11"/>
      <c r="H19" s="9" t="s">
        <v>204</v>
      </c>
    </row>
    <row r="20" spans="1:8" ht="139.5" customHeight="1">
      <c r="A20" s="12" t="s">
        <v>205</v>
      </c>
      <c r="B20" s="12" t="s">
        <v>206</v>
      </c>
      <c r="C20" s="12" t="s">
        <v>661</v>
      </c>
      <c r="D20" s="12" t="s">
        <v>207</v>
      </c>
      <c r="E20" s="12" t="s">
        <v>166</v>
      </c>
      <c r="F20" s="10" t="s">
        <v>49</v>
      </c>
      <c r="G20" s="11"/>
      <c r="H20" s="9" t="s">
        <v>208</v>
      </c>
    </row>
    <row r="21" spans="1:8" ht="139.5" customHeight="1">
      <c r="A21" s="9" t="s">
        <v>209</v>
      </c>
      <c r="B21" s="9" t="s">
        <v>210</v>
      </c>
      <c r="C21" s="9" t="s">
        <v>662</v>
      </c>
      <c r="D21" s="9" t="s">
        <v>211</v>
      </c>
      <c r="E21" s="9" t="s">
        <v>166</v>
      </c>
      <c r="F21" s="10" t="s">
        <v>49</v>
      </c>
      <c r="G21" s="11"/>
      <c r="H21" s="9" t="s">
        <v>208</v>
      </c>
    </row>
    <row r="22" spans="1:8" ht="139.5" customHeight="1">
      <c r="A22" s="12" t="s">
        <v>212</v>
      </c>
      <c r="B22" s="12" t="s">
        <v>213</v>
      </c>
      <c r="C22" s="12" t="s">
        <v>663</v>
      </c>
      <c r="D22" s="12" t="s">
        <v>214</v>
      </c>
      <c r="E22" s="12" t="s">
        <v>166</v>
      </c>
      <c r="F22" s="10" t="s">
        <v>49</v>
      </c>
      <c r="G22" s="11"/>
      <c r="H22" s="9" t="s">
        <v>208</v>
      </c>
    </row>
    <row r="23" spans="1:8" ht="139.5" customHeight="1">
      <c r="A23" s="9" t="s">
        <v>215</v>
      </c>
      <c r="B23" s="9" t="s">
        <v>216</v>
      </c>
      <c r="C23" s="9" t="s">
        <v>664</v>
      </c>
      <c r="D23" s="9" t="s">
        <v>217</v>
      </c>
      <c r="E23" s="9" t="s">
        <v>166</v>
      </c>
      <c r="F23" s="10" t="s">
        <v>49</v>
      </c>
      <c r="G23" s="11"/>
      <c r="H23" s="9" t="s">
        <v>208</v>
      </c>
    </row>
    <row r="24" spans="1:8" ht="139.5" customHeight="1">
      <c r="A24" s="12" t="s">
        <v>218</v>
      </c>
      <c r="B24" s="12" t="s">
        <v>219</v>
      </c>
      <c r="C24" s="12" t="s">
        <v>665</v>
      </c>
      <c r="D24" s="12" t="s">
        <v>649</v>
      </c>
      <c r="E24" s="12" t="s">
        <v>166</v>
      </c>
      <c r="F24" s="10" t="s">
        <v>49</v>
      </c>
      <c r="G24" s="11"/>
      <c r="H24" s="9" t="s">
        <v>220</v>
      </c>
    </row>
    <row r="25" spans="1:8" ht="139.5" customHeight="1">
      <c r="A25" s="9" t="s">
        <v>221</v>
      </c>
      <c r="B25" s="9" t="s">
        <v>222</v>
      </c>
      <c r="C25" s="9" t="s">
        <v>666</v>
      </c>
      <c r="D25" s="9" t="s">
        <v>223</v>
      </c>
      <c r="E25" s="9" t="s">
        <v>166</v>
      </c>
      <c r="F25" s="10" t="s">
        <v>49</v>
      </c>
      <c r="G25" s="11"/>
      <c r="H25" s="9" t="s">
        <v>220</v>
      </c>
    </row>
    <row r="26" spans="1:8" ht="139.5" customHeight="1">
      <c r="A26" s="12" t="s">
        <v>224</v>
      </c>
      <c r="B26" s="12" t="s">
        <v>225</v>
      </c>
      <c r="C26" s="12" t="s">
        <v>667</v>
      </c>
      <c r="D26" s="12" t="s">
        <v>226</v>
      </c>
      <c r="E26" s="12" t="s">
        <v>166</v>
      </c>
      <c r="F26" s="10" t="s">
        <v>49</v>
      </c>
      <c r="G26" s="11"/>
      <c r="H26" s="9" t="s">
        <v>220</v>
      </c>
    </row>
    <row r="27" spans="1:8" ht="139.5" customHeight="1">
      <c r="A27" s="9" t="s">
        <v>227</v>
      </c>
      <c r="B27" s="9" t="s">
        <v>228</v>
      </c>
      <c r="C27" s="9" t="s">
        <v>668</v>
      </c>
      <c r="D27" s="9" t="s">
        <v>229</v>
      </c>
      <c r="E27" s="9" t="s">
        <v>166</v>
      </c>
      <c r="F27" s="10" t="s">
        <v>49</v>
      </c>
      <c r="G27" s="11"/>
      <c r="H27" s="9" t="s">
        <v>230</v>
      </c>
    </row>
    <row r="28" spans="1:8" ht="139.5" customHeight="1">
      <c r="A28" s="12" t="s">
        <v>231</v>
      </c>
      <c r="B28" s="12" t="s">
        <v>232</v>
      </c>
      <c r="C28" s="12" t="s">
        <v>669</v>
      </c>
      <c r="D28" s="12" t="s">
        <v>233</v>
      </c>
      <c r="E28" s="12" t="s">
        <v>166</v>
      </c>
      <c r="F28" s="10" t="s">
        <v>49</v>
      </c>
      <c r="G28" s="11"/>
      <c r="H28" s="9" t="s">
        <v>234</v>
      </c>
    </row>
    <row r="29" spans="1:8" ht="139.5" customHeight="1">
      <c r="A29" s="9" t="s">
        <v>235</v>
      </c>
      <c r="B29" s="9" t="s">
        <v>236</v>
      </c>
      <c r="C29" s="9" t="s">
        <v>670</v>
      </c>
      <c r="D29" s="9" t="s">
        <v>237</v>
      </c>
      <c r="E29" s="9" t="s">
        <v>166</v>
      </c>
      <c r="F29" s="10" t="s">
        <v>49</v>
      </c>
      <c r="G29" s="11"/>
      <c r="H29" s="9" t="s">
        <v>238</v>
      </c>
    </row>
    <row r="30" spans="1:8" ht="139.5" customHeight="1">
      <c r="A30" s="12" t="s">
        <v>239</v>
      </c>
      <c r="B30" s="12" t="s">
        <v>240</v>
      </c>
      <c r="C30" s="12" t="s">
        <v>671</v>
      </c>
      <c r="D30" s="12" t="s">
        <v>241</v>
      </c>
      <c r="E30" s="12" t="s">
        <v>166</v>
      </c>
      <c r="F30" s="10" t="s">
        <v>49</v>
      </c>
      <c r="G30" s="11"/>
      <c r="H30" s="9" t="s">
        <v>242</v>
      </c>
    </row>
    <row r="31" spans="1:8" ht="139.5" customHeight="1">
      <c r="A31" s="9" t="s">
        <v>243</v>
      </c>
      <c r="B31" s="9" t="s">
        <v>244</v>
      </c>
      <c r="C31" s="48" t="s">
        <v>675</v>
      </c>
      <c r="D31" s="9" t="s">
        <v>245</v>
      </c>
      <c r="E31" s="9" t="s">
        <v>166</v>
      </c>
      <c r="F31" s="10" t="s">
        <v>49</v>
      </c>
      <c r="G31" s="11"/>
      <c r="H31" s="9" t="s">
        <v>242</v>
      </c>
    </row>
    <row r="32" spans="1:8" ht="139.5" customHeight="1">
      <c r="A32" s="12" t="s">
        <v>246</v>
      </c>
      <c r="B32" s="12" t="s">
        <v>247</v>
      </c>
      <c r="C32" s="12" t="s">
        <v>672</v>
      </c>
      <c r="D32" s="12" t="s">
        <v>248</v>
      </c>
      <c r="E32" s="12" t="s">
        <v>166</v>
      </c>
      <c r="F32" s="10" t="s">
        <v>49</v>
      </c>
      <c r="G32" s="11"/>
      <c r="H32" s="9" t="s">
        <v>249</v>
      </c>
    </row>
    <row r="33" spans="1:8" ht="141.75" customHeight="1">
      <c r="A33" s="9" t="s">
        <v>250</v>
      </c>
      <c r="B33" s="9" t="s">
        <v>251</v>
      </c>
      <c r="C33" s="9" t="s">
        <v>673</v>
      </c>
      <c r="D33" s="9" t="s">
        <v>252</v>
      </c>
      <c r="E33" s="9" t="s">
        <v>166</v>
      </c>
      <c r="F33" s="10" t="s">
        <v>49</v>
      </c>
      <c r="G33" s="11"/>
      <c r="H33" s="9" t="s">
        <v>249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11" priority="1" operator="containsText" text="Passed">
      <formula>NOT(ISERROR(SEARCH(("Passed"),(F9))))</formula>
    </cfRule>
    <cfRule type="containsText" dxfId="10" priority="2" operator="containsText" text="Failed">
      <formula>NOT(ISERROR(SEARCH(("Failed"),(F9))))</formula>
    </cfRule>
    <cfRule type="containsText" dxfId="9" priority="3" operator="containsText" text="Blocked">
      <formula>NOT(ISERROR(SEARCH(("Blocked"),(F9))))</formula>
    </cfRule>
    <cfRule type="containsText" dxfId="8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300-000000000000}">
      <formula1>"Passed,Failed,Untested,Blocked,Skipped"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H1000"/>
  <sheetViews>
    <sheetView showGridLines="0" zoomScale="70" zoomScaleNormal="70" workbookViewId="0">
      <pane xSplit="1" ySplit="8" topLeftCell="B38" activePane="bottomRight" state="frozen"/>
      <selection pane="topRight"/>
      <selection pane="bottomLeft"/>
      <selection pane="bottomRight" activeCell="C21" sqref="C21"/>
    </sheetView>
  </sheetViews>
  <sheetFormatPr defaultColWidth="12.59765625" defaultRowHeight="13.8"/>
  <cols>
    <col min="1" max="1" width="25" style="36" customWidth="1"/>
    <col min="2" max="2" width="36" style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38"/>
      <c r="B1" s="30"/>
      <c r="C1" s="1"/>
      <c r="D1" s="1"/>
      <c r="E1" s="1"/>
      <c r="F1" s="1"/>
      <c r="G1" s="1"/>
      <c r="H1" s="1"/>
    </row>
    <row r="2" spans="1:8">
      <c r="A2" s="39" t="s">
        <v>44</v>
      </c>
      <c r="B2" s="37" t="s">
        <v>127</v>
      </c>
      <c r="C2" s="15"/>
      <c r="D2" s="15"/>
      <c r="E2" s="15"/>
      <c r="F2" s="15"/>
      <c r="G2" s="15"/>
      <c r="H2" s="15"/>
    </row>
    <row r="3" spans="1:8">
      <c r="A3" s="39" t="s">
        <v>45</v>
      </c>
      <c r="B3" s="37" t="s">
        <v>97</v>
      </c>
      <c r="C3" s="15"/>
      <c r="D3" s="15"/>
      <c r="E3" s="15"/>
      <c r="F3" s="15"/>
      <c r="G3" s="15"/>
      <c r="H3" s="15"/>
    </row>
    <row r="4" spans="1:8">
      <c r="A4" s="39" t="s">
        <v>46</v>
      </c>
      <c r="B4" s="37" t="s">
        <v>162</v>
      </c>
      <c r="C4" s="15"/>
      <c r="D4" s="15"/>
      <c r="E4" s="15"/>
      <c r="F4" s="15"/>
      <c r="G4" s="15"/>
      <c r="H4" s="15"/>
    </row>
    <row r="5" spans="1:8" ht="24" customHeight="1">
      <c r="A5" s="40" t="s">
        <v>47</v>
      </c>
      <c r="B5" s="31" t="s">
        <v>48</v>
      </c>
      <c r="C5" s="7" t="s">
        <v>49</v>
      </c>
      <c r="D5" s="7" t="s">
        <v>50</v>
      </c>
      <c r="E5" s="7" t="s">
        <v>51</v>
      </c>
      <c r="F5" s="23" t="s">
        <v>52</v>
      </c>
      <c r="G5" s="18"/>
      <c r="H5" s="18"/>
    </row>
    <row r="6" spans="1:8" ht="24" customHeight="1">
      <c r="A6" s="41">
        <f>COUNTIF($F$9:$F$33,"Passed")</f>
        <v>0</v>
      </c>
      <c r="B6" s="32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24">
        <f>COUNTA(A9:A33)</f>
        <v>25</v>
      </c>
      <c r="G6" s="15"/>
      <c r="H6" s="15"/>
    </row>
    <row r="7" spans="1:8">
      <c r="A7" s="45"/>
      <c r="B7" s="30"/>
      <c r="C7" s="1"/>
      <c r="D7" s="1"/>
      <c r="E7" s="1"/>
      <c r="F7" s="1"/>
      <c r="G7" s="1"/>
      <c r="H7" s="1"/>
    </row>
    <row r="8" spans="1:8" ht="33.75" customHeight="1">
      <c r="A8" s="42" t="s">
        <v>53</v>
      </c>
      <c r="B8" s="33" t="s">
        <v>54</v>
      </c>
      <c r="C8" s="6" t="s">
        <v>55</v>
      </c>
      <c r="D8" s="6" t="s">
        <v>56</v>
      </c>
      <c r="E8" s="6" t="s">
        <v>57</v>
      </c>
      <c r="F8" s="6" t="s">
        <v>58</v>
      </c>
      <c r="G8" s="6" t="s">
        <v>59</v>
      </c>
      <c r="H8" s="6" t="s">
        <v>41</v>
      </c>
    </row>
    <row r="9" spans="1:8" ht="139.5" customHeight="1">
      <c r="A9" s="43" t="s">
        <v>253</v>
      </c>
      <c r="B9" s="34" t="s">
        <v>254</v>
      </c>
      <c r="C9" s="9" t="s">
        <v>255</v>
      </c>
      <c r="D9" s="9" t="s">
        <v>256</v>
      </c>
      <c r="E9" s="9" t="s">
        <v>166</v>
      </c>
      <c r="F9" s="10" t="s">
        <v>49</v>
      </c>
      <c r="G9" s="11"/>
      <c r="H9" s="9" t="s">
        <v>257</v>
      </c>
    </row>
    <row r="10" spans="1:8" ht="139.5" customHeight="1">
      <c r="A10" s="44" t="s">
        <v>258</v>
      </c>
      <c r="B10" s="35" t="s">
        <v>259</v>
      </c>
      <c r="C10" s="12" t="s">
        <v>260</v>
      </c>
      <c r="D10" s="12" t="s">
        <v>261</v>
      </c>
      <c r="E10" s="12" t="s">
        <v>166</v>
      </c>
      <c r="F10" s="10" t="s">
        <v>49</v>
      </c>
      <c r="G10" s="11"/>
      <c r="H10" s="9" t="s">
        <v>257</v>
      </c>
    </row>
    <row r="11" spans="1:8" ht="139.5" customHeight="1">
      <c r="A11" s="43" t="s">
        <v>262</v>
      </c>
      <c r="B11" s="34" t="s">
        <v>60</v>
      </c>
      <c r="C11" s="9" t="s">
        <v>263</v>
      </c>
      <c r="D11" s="9" t="s">
        <v>264</v>
      </c>
      <c r="E11" s="9" t="s">
        <v>166</v>
      </c>
      <c r="F11" s="10" t="s">
        <v>49</v>
      </c>
      <c r="G11" s="11"/>
      <c r="H11" s="9" t="s">
        <v>265</v>
      </c>
    </row>
    <row r="12" spans="1:8" ht="139.5" customHeight="1">
      <c r="A12" s="44" t="s">
        <v>266</v>
      </c>
      <c r="B12" s="35" t="s">
        <v>61</v>
      </c>
      <c r="C12" s="12" t="s">
        <v>267</v>
      </c>
      <c r="D12" s="12" t="s">
        <v>268</v>
      </c>
      <c r="E12" s="12" t="s">
        <v>166</v>
      </c>
      <c r="F12" s="10" t="s">
        <v>49</v>
      </c>
      <c r="G12" s="11"/>
      <c r="H12" s="9" t="s">
        <v>265</v>
      </c>
    </row>
    <row r="13" spans="1:8" ht="139.5" customHeight="1">
      <c r="A13" s="43" t="s">
        <v>269</v>
      </c>
      <c r="B13" s="34" t="s">
        <v>270</v>
      </c>
      <c r="C13" s="9" t="s">
        <v>271</v>
      </c>
      <c r="D13" s="9" t="s">
        <v>272</v>
      </c>
      <c r="E13" s="9" t="s">
        <v>166</v>
      </c>
      <c r="F13" s="10" t="s">
        <v>49</v>
      </c>
      <c r="G13" s="11"/>
      <c r="H13" s="9" t="s">
        <v>265</v>
      </c>
    </row>
    <row r="14" spans="1:8" ht="139.5" customHeight="1">
      <c r="A14" s="44" t="s">
        <v>273</v>
      </c>
      <c r="B14" s="35" t="s">
        <v>274</v>
      </c>
      <c r="C14" s="12" t="s">
        <v>275</v>
      </c>
      <c r="D14" s="12" t="s">
        <v>276</v>
      </c>
      <c r="E14" s="12" t="s">
        <v>166</v>
      </c>
      <c r="F14" s="10" t="s">
        <v>49</v>
      </c>
      <c r="G14" s="11"/>
      <c r="H14" s="9" t="s">
        <v>277</v>
      </c>
    </row>
    <row r="15" spans="1:8" ht="139.5" customHeight="1">
      <c r="A15" s="43" t="s">
        <v>278</v>
      </c>
      <c r="B15" s="34" t="s">
        <v>279</v>
      </c>
      <c r="C15" s="9" t="s">
        <v>280</v>
      </c>
      <c r="D15" s="9" t="s">
        <v>281</v>
      </c>
      <c r="E15" s="9" t="s">
        <v>166</v>
      </c>
      <c r="F15" s="10" t="s">
        <v>49</v>
      </c>
      <c r="G15" s="11"/>
      <c r="H15" s="9" t="s">
        <v>282</v>
      </c>
    </row>
    <row r="16" spans="1:8" ht="139.5" customHeight="1">
      <c r="A16" s="44" t="s">
        <v>283</v>
      </c>
      <c r="B16" s="35" t="s">
        <v>284</v>
      </c>
      <c r="C16" s="12" t="s">
        <v>285</v>
      </c>
      <c r="D16" s="12" t="s">
        <v>286</v>
      </c>
      <c r="E16" s="12" t="s">
        <v>166</v>
      </c>
      <c r="F16" s="10" t="s">
        <v>49</v>
      </c>
      <c r="G16" s="11"/>
      <c r="H16" s="9" t="s">
        <v>287</v>
      </c>
    </row>
    <row r="17" spans="1:8" ht="139.5" customHeight="1">
      <c r="A17" s="43" t="s">
        <v>288</v>
      </c>
      <c r="B17" s="34" t="s">
        <v>289</v>
      </c>
      <c r="C17" s="9" t="s">
        <v>290</v>
      </c>
      <c r="D17" s="9" t="s">
        <v>291</v>
      </c>
      <c r="E17" s="9" t="s">
        <v>166</v>
      </c>
      <c r="F17" s="10" t="s">
        <v>49</v>
      </c>
      <c r="G17" s="11"/>
      <c r="H17" s="9" t="s">
        <v>292</v>
      </c>
    </row>
    <row r="18" spans="1:8" ht="139.5" customHeight="1">
      <c r="A18" s="44" t="s">
        <v>293</v>
      </c>
      <c r="B18" s="35" t="s">
        <v>294</v>
      </c>
      <c r="C18" s="12" t="s">
        <v>295</v>
      </c>
      <c r="D18" s="12" t="s">
        <v>291</v>
      </c>
      <c r="E18" s="12" t="s">
        <v>166</v>
      </c>
      <c r="F18" s="10" t="s">
        <v>49</v>
      </c>
      <c r="G18" s="11"/>
      <c r="H18" s="9" t="s">
        <v>292</v>
      </c>
    </row>
    <row r="19" spans="1:8" ht="139.5" customHeight="1">
      <c r="A19" s="43" t="s">
        <v>296</v>
      </c>
      <c r="B19" s="34" t="s">
        <v>297</v>
      </c>
      <c r="C19" s="9" t="s">
        <v>298</v>
      </c>
      <c r="D19" s="9" t="s">
        <v>299</v>
      </c>
      <c r="E19" s="9" t="s">
        <v>166</v>
      </c>
      <c r="F19" s="10" t="s">
        <v>49</v>
      </c>
      <c r="G19" s="11"/>
      <c r="H19" s="9" t="s">
        <v>300</v>
      </c>
    </row>
    <row r="20" spans="1:8" ht="139.5" customHeight="1">
      <c r="A20" s="44" t="s">
        <v>301</v>
      </c>
      <c r="B20" s="35" t="s">
        <v>302</v>
      </c>
      <c r="C20" s="12" t="s">
        <v>303</v>
      </c>
      <c r="D20" s="12" t="s">
        <v>304</v>
      </c>
      <c r="E20" s="12" t="s">
        <v>166</v>
      </c>
      <c r="F20" s="10" t="s">
        <v>49</v>
      </c>
      <c r="G20" s="11"/>
      <c r="H20" s="9" t="s">
        <v>287</v>
      </c>
    </row>
    <row r="21" spans="1:8" ht="139.5" customHeight="1">
      <c r="A21" s="43" t="s">
        <v>305</v>
      </c>
      <c r="B21" s="34" t="s">
        <v>306</v>
      </c>
      <c r="C21" s="9" t="s">
        <v>307</v>
      </c>
      <c r="D21" s="9" t="s">
        <v>308</v>
      </c>
      <c r="E21" s="9" t="s">
        <v>166</v>
      </c>
      <c r="F21" s="10" t="s">
        <v>49</v>
      </c>
      <c r="G21" s="11"/>
      <c r="H21" s="9" t="s">
        <v>309</v>
      </c>
    </row>
    <row r="22" spans="1:8" ht="139.5" customHeight="1">
      <c r="A22" s="44" t="s">
        <v>310</v>
      </c>
      <c r="B22" s="35" t="s">
        <v>311</v>
      </c>
      <c r="C22" s="12" t="s">
        <v>312</v>
      </c>
      <c r="D22" s="12" t="s">
        <v>313</v>
      </c>
      <c r="E22" s="12" t="s">
        <v>166</v>
      </c>
      <c r="F22" s="10" t="s">
        <v>49</v>
      </c>
      <c r="G22" s="11"/>
      <c r="H22" s="9" t="s">
        <v>309</v>
      </c>
    </row>
    <row r="23" spans="1:8" ht="139.5" customHeight="1">
      <c r="A23" s="43" t="s">
        <v>314</v>
      </c>
      <c r="B23" s="34" t="s">
        <v>315</v>
      </c>
      <c r="C23" s="9" t="s">
        <v>316</v>
      </c>
      <c r="D23" s="9" t="s">
        <v>317</v>
      </c>
      <c r="E23" s="9" t="s">
        <v>166</v>
      </c>
      <c r="F23" s="10" t="s">
        <v>49</v>
      </c>
      <c r="G23" s="11"/>
      <c r="H23" s="9" t="s">
        <v>318</v>
      </c>
    </row>
    <row r="24" spans="1:8" ht="139.5" customHeight="1">
      <c r="A24" s="44" t="s">
        <v>319</v>
      </c>
      <c r="B24" s="35" t="s">
        <v>320</v>
      </c>
      <c r="C24" s="12" t="s">
        <v>321</v>
      </c>
      <c r="D24" s="12" t="s">
        <v>322</v>
      </c>
      <c r="E24" s="12" t="s">
        <v>166</v>
      </c>
      <c r="F24" s="10" t="s">
        <v>49</v>
      </c>
      <c r="G24" s="11"/>
      <c r="H24" s="9" t="s">
        <v>323</v>
      </c>
    </row>
    <row r="25" spans="1:8" ht="139.5" customHeight="1">
      <c r="A25" s="43" t="s">
        <v>324</v>
      </c>
      <c r="B25" s="34" t="s">
        <v>325</v>
      </c>
      <c r="C25" s="9" t="s">
        <v>326</v>
      </c>
      <c r="D25" s="9" t="s">
        <v>327</v>
      </c>
      <c r="E25" s="9" t="s">
        <v>166</v>
      </c>
      <c r="F25" s="10" t="s">
        <v>49</v>
      </c>
      <c r="G25" s="11"/>
      <c r="H25" s="9" t="s">
        <v>328</v>
      </c>
    </row>
    <row r="26" spans="1:8" ht="139.5" customHeight="1">
      <c r="A26" s="44" t="s">
        <v>329</v>
      </c>
      <c r="B26" s="35" t="s">
        <v>330</v>
      </c>
      <c r="C26" s="12" t="s">
        <v>331</v>
      </c>
      <c r="D26" s="12" t="s">
        <v>332</v>
      </c>
      <c r="E26" s="12" t="s">
        <v>166</v>
      </c>
      <c r="F26" s="10" t="s">
        <v>49</v>
      </c>
      <c r="G26" s="11"/>
      <c r="H26" s="9" t="s">
        <v>333</v>
      </c>
    </row>
    <row r="27" spans="1:8" ht="139.5" customHeight="1">
      <c r="A27" s="43" t="s">
        <v>334</v>
      </c>
      <c r="B27" s="34" t="s">
        <v>335</v>
      </c>
      <c r="C27" s="9" t="s">
        <v>336</v>
      </c>
      <c r="D27" s="9" t="s">
        <v>337</v>
      </c>
      <c r="E27" s="9" t="s">
        <v>166</v>
      </c>
      <c r="F27" s="10" t="s">
        <v>49</v>
      </c>
      <c r="G27" s="11"/>
      <c r="H27" s="9" t="s">
        <v>333</v>
      </c>
    </row>
    <row r="28" spans="1:8" ht="139.5" customHeight="1">
      <c r="A28" s="44" t="s">
        <v>338</v>
      </c>
      <c r="B28" s="35" t="s">
        <v>339</v>
      </c>
      <c r="C28" s="12" t="s">
        <v>340</v>
      </c>
      <c r="D28" s="12" t="s">
        <v>341</v>
      </c>
      <c r="E28" s="12" t="s">
        <v>166</v>
      </c>
      <c r="F28" s="10" t="s">
        <v>49</v>
      </c>
      <c r="G28" s="11"/>
      <c r="H28" s="9" t="s">
        <v>333</v>
      </c>
    </row>
    <row r="29" spans="1:8" ht="139.5" customHeight="1">
      <c r="A29" s="43" t="s">
        <v>342</v>
      </c>
      <c r="B29" s="34" t="s">
        <v>343</v>
      </c>
      <c r="C29" s="9" t="s">
        <v>344</v>
      </c>
      <c r="D29" s="9" t="s">
        <v>345</v>
      </c>
      <c r="E29" s="9" t="s">
        <v>166</v>
      </c>
      <c r="F29" s="10" t="s">
        <v>49</v>
      </c>
      <c r="G29" s="11"/>
      <c r="H29" s="9" t="s">
        <v>346</v>
      </c>
    </row>
    <row r="30" spans="1:8" ht="139.5" customHeight="1">
      <c r="A30" s="44" t="s">
        <v>347</v>
      </c>
      <c r="B30" s="35" t="s">
        <v>348</v>
      </c>
      <c r="C30" s="12" t="s">
        <v>349</v>
      </c>
      <c r="D30" s="12" t="s">
        <v>350</v>
      </c>
      <c r="E30" s="12" t="s">
        <v>166</v>
      </c>
      <c r="F30" s="10" t="s">
        <v>49</v>
      </c>
      <c r="G30" s="11"/>
      <c r="H30" s="9" t="s">
        <v>351</v>
      </c>
    </row>
    <row r="31" spans="1:8" ht="156" customHeight="1">
      <c r="A31" s="43" t="s">
        <v>352</v>
      </c>
      <c r="B31" s="34" t="s">
        <v>353</v>
      </c>
      <c r="C31" s="9" t="s">
        <v>354</v>
      </c>
      <c r="D31" s="9" t="s">
        <v>355</v>
      </c>
      <c r="E31" s="9" t="s">
        <v>166</v>
      </c>
      <c r="F31" s="10" t="s">
        <v>49</v>
      </c>
      <c r="G31" s="11"/>
      <c r="H31" s="9" t="s">
        <v>356</v>
      </c>
    </row>
    <row r="32" spans="1:8" ht="156" customHeight="1">
      <c r="A32" s="44" t="s">
        <v>357</v>
      </c>
      <c r="B32" s="35" t="s">
        <v>358</v>
      </c>
      <c r="C32" s="12" t="s">
        <v>359</v>
      </c>
      <c r="D32" s="12" t="s">
        <v>360</v>
      </c>
      <c r="E32" s="12" t="s">
        <v>166</v>
      </c>
      <c r="F32" s="10" t="s">
        <v>49</v>
      </c>
      <c r="G32" s="11"/>
      <c r="H32" s="9" t="s">
        <v>361</v>
      </c>
    </row>
    <row r="33" spans="1:8" ht="139.5" customHeight="1">
      <c r="A33" s="43" t="s">
        <v>362</v>
      </c>
      <c r="B33" s="34" t="s">
        <v>363</v>
      </c>
      <c r="C33" s="9" t="s">
        <v>364</v>
      </c>
      <c r="D33" s="9" t="s">
        <v>365</v>
      </c>
      <c r="E33" s="9" t="s">
        <v>166</v>
      </c>
      <c r="F33" s="10" t="s">
        <v>49</v>
      </c>
      <c r="G33" s="11"/>
      <c r="H33" s="9" t="s">
        <v>356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7" priority="1" operator="containsText" text="Passed">
      <formula>NOT(ISERROR(SEARCH(("Passed"),(F9))))</formula>
    </cfRule>
    <cfRule type="containsText" dxfId="6" priority="2" operator="containsText" text="Failed">
      <formula>NOT(ISERROR(SEARCH(("Failed"),(F9))))</formula>
    </cfRule>
    <cfRule type="containsText" dxfId="5" priority="3" operator="containsText" text="Blocked">
      <formula>NOT(ISERROR(SEARCH(("Blocked"),(F9))))</formula>
    </cfRule>
    <cfRule type="containsText" dxfId="4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400-000000000000}">
      <formula1>"Passed,Failed,Untested,Blocked,Skipped"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H1000"/>
  <sheetViews>
    <sheetView showGridLines="0" zoomScale="70" zoomScaleNormal="70" workbookViewId="0">
      <pane xSplit="1" ySplit="8" topLeftCell="B19" activePane="bottomRight" state="frozen"/>
      <selection pane="topRight"/>
      <selection pane="bottomLeft"/>
      <selection pane="bottomRight" activeCell="C11" sqref="C11"/>
    </sheetView>
  </sheetViews>
  <sheetFormatPr defaultColWidth="12.59765625" defaultRowHeight="13.8"/>
  <cols>
    <col min="1" max="1" width="25" customWidth="1"/>
    <col min="2" max="2" width="36" customWidth="1"/>
    <col min="3" max="3" width="72" customWidth="1"/>
    <col min="4" max="4" width="65" customWidth="1"/>
    <col min="5" max="5" width="24" customWidth="1"/>
    <col min="6" max="6" width="14" customWidth="1"/>
    <col min="7" max="7" width="15" customWidth="1"/>
    <col min="8" max="8" width="40" customWidth="1"/>
    <col min="9" max="26" width="8.59765625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>
      <c r="A2" s="3" t="s">
        <v>44</v>
      </c>
      <c r="B2" s="28" t="s">
        <v>102</v>
      </c>
      <c r="C2" s="15"/>
      <c r="D2" s="15"/>
      <c r="E2" s="15"/>
      <c r="F2" s="15"/>
      <c r="G2" s="15"/>
      <c r="H2" s="15"/>
    </row>
    <row r="3" spans="1:8">
      <c r="A3" s="3" t="s">
        <v>45</v>
      </c>
      <c r="B3" s="28" t="s">
        <v>98</v>
      </c>
      <c r="C3" s="15"/>
      <c r="D3" s="15"/>
      <c r="E3" s="15"/>
      <c r="F3" s="15"/>
      <c r="G3" s="15"/>
      <c r="H3" s="15"/>
    </row>
    <row r="4" spans="1:8">
      <c r="A4" s="3" t="s">
        <v>46</v>
      </c>
      <c r="B4" s="37" t="s">
        <v>162</v>
      </c>
      <c r="C4" s="15"/>
      <c r="D4" s="15"/>
      <c r="E4" s="15"/>
      <c r="F4" s="15"/>
      <c r="G4" s="15"/>
      <c r="H4" s="15"/>
    </row>
    <row r="5" spans="1:8" ht="24" customHeight="1">
      <c r="A5" s="7" t="s">
        <v>47</v>
      </c>
      <c r="B5" s="7" t="s">
        <v>48</v>
      </c>
      <c r="C5" s="7" t="s">
        <v>49</v>
      </c>
      <c r="D5" s="7" t="s">
        <v>50</v>
      </c>
      <c r="E5" s="7" t="s">
        <v>51</v>
      </c>
      <c r="F5" s="23" t="s">
        <v>52</v>
      </c>
      <c r="G5" s="18"/>
      <c r="H5" s="18"/>
    </row>
    <row r="6" spans="1:8" ht="24" customHeight="1">
      <c r="A6" s="8">
        <f>COUNTIF($F$9:$F$33,"Passed")</f>
        <v>0</v>
      </c>
      <c r="B6" s="8">
        <f>COUNTIF($F$9:$F$33,"Failed")</f>
        <v>0</v>
      </c>
      <c r="C6" s="8">
        <f>COUNTIF($F$9:$F$33,"Untested")</f>
        <v>25</v>
      </c>
      <c r="D6" s="8">
        <f>COUNTIF($F$9:$F$33,"Blocked")</f>
        <v>0</v>
      </c>
      <c r="E6" s="8">
        <f>COUNTIF($F$9:$F$33,"Skipped")</f>
        <v>0</v>
      </c>
      <c r="F6" s="24">
        <f>COUNTA(A9:A33)</f>
        <v>25</v>
      </c>
      <c r="G6" s="15"/>
      <c r="H6" s="15"/>
    </row>
    <row r="7" spans="1:8">
      <c r="A7" s="1"/>
      <c r="B7" s="1"/>
      <c r="C7" s="1"/>
      <c r="D7" s="1"/>
      <c r="E7" s="1"/>
      <c r="F7" s="1"/>
      <c r="G7" s="1"/>
      <c r="H7" s="1"/>
    </row>
    <row r="8" spans="1:8" ht="33.75" customHeight="1">
      <c r="A8" s="6" t="s">
        <v>53</v>
      </c>
      <c r="B8" s="6" t="s">
        <v>54</v>
      </c>
      <c r="C8" s="6" t="s">
        <v>55</v>
      </c>
      <c r="D8" s="6" t="s">
        <v>56</v>
      </c>
      <c r="E8" s="6" t="s">
        <v>57</v>
      </c>
      <c r="F8" s="6" t="s">
        <v>58</v>
      </c>
      <c r="G8" s="6" t="s">
        <v>59</v>
      </c>
      <c r="H8" s="6" t="s">
        <v>41</v>
      </c>
    </row>
    <row r="9" spans="1:8" ht="139.5" customHeight="1">
      <c r="A9" s="9" t="s">
        <v>366</v>
      </c>
      <c r="B9" s="9" t="s">
        <v>367</v>
      </c>
      <c r="C9" s="9" t="s">
        <v>368</v>
      </c>
      <c r="D9" s="9" t="s">
        <v>369</v>
      </c>
      <c r="E9" s="9" t="s">
        <v>370</v>
      </c>
      <c r="F9" s="10" t="s">
        <v>49</v>
      </c>
      <c r="G9" s="11"/>
      <c r="H9" s="9" t="s">
        <v>371</v>
      </c>
    </row>
    <row r="10" spans="1:8" ht="139.5" customHeight="1">
      <c r="A10" s="12" t="s">
        <v>372</v>
      </c>
      <c r="B10" s="12" t="s">
        <v>373</v>
      </c>
      <c r="C10" s="12" t="s">
        <v>374</v>
      </c>
      <c r="D10" s="12" t="s">
        <v>375</v>
      </c>
      <c r="E10" s="12" t="s">
        <v>370</v>
      </c>
      <c r="F10" s="10" t="s">
        <v>49</v>
      </c>
      <c r="G10" s="11"/>
      <c r="H10" s="9" t="s">
        <v>376</v>
      </c>
    </row>
    <row r="11" spans="1:8" ht="139.5" customHeight="1">
      <c r="A11" s="9" t="s">
        <v>377</v>
      </c>
      <c r="B11" s="9" t="s">
        <v>378</v>
      </c>
      <c r="C11" s="9" t="s">
        <v>379</v>
      </c>
      <c r="D11" s="9" t="s">
        <v>380</v>
      </c>
      <c r="E11" s="9" t="s">
        <v>370</v>
      </c>
      <c r="F11" s="10" t="s">
        <v>49</v>
      </c>
      <c r="G11" s="11"/>
      <c r="H11" s="9" t="s">
        <v>376</v>
      </c>
    </row>
    <row r="12" spans="1:8" ht="139.5" customHeight="1">
      <c r="A12" s="12" t="s">
        <v>381</v>
      </c>
      <c r="B12" s="12" t="s">
        <v>382</v>
      </c>
      <c r="C12" s="12" t="s">
        <v>383</v>
      </c>
      <c r="D12" s="12" t="s">
        <v>384</v>
      </c>
      <c r="E12" s="12" t="s">
        <v>370</v>
      </c>
      <c r="F12" s="10" t="s">
        <v>49</v>
      </c>
      <c r="G12" s="11"/>
      <c r="H12" s="9" t="s">
        <v>376</v>
      </c>
    </row>
    <row r="13" spans="1:8" ht="139.5" customHeight="1">
      <c r="A13" s="9" t="s">
        <v>385</v>
      </c>
      <c r="B13" s="9" t="s">
        <v>386</v>
      </c>
      <c r="C13" s="9" t="s">
        <v>387</v>
      </c>
      <c r="D13" s="9" t="s">
        <v>388</v>
      </c>
      <c r="E13" s="9" t="s">
        <v>370</v>
      </c>
      <c r="F13" s="10" t="s">
        <v>49</v>
      </c>
      <c r="G13" s="11"/>
      <c r="H13" s="9" t="s">
        <v>376</v>
      </c>
    </row>
    <row r="14" spans="1:8" ht="139.5" customHeight="1">
      <c r="A14" s="12" t="s">
        <v>389</v>
      </c>
      <c r="B14" s="12" t="s">
        <v>390</v>
      </c>
      <c r="C14" s="12" t="s">
        <v>391</v>
      </c>
      <c r="D14" s="12" t="s">
        <v>392</v>
      </c>
      <c r="E14" s="12" t="s">
        <v>370</v>
      </c>
      <c r="F14" s="10" t="s">
        <v>49</v>
      </c>
      <c r="G14" s="11"/>
      <c r="H14" s="9" t="s">
        <v>393</v>
      </c>
    </row>
    <row r="15" spans="1:8" ht="139.5" customHeight="1">
      <c r="A15" s="9" t="s">
        <v>394</v>
      </c>
      <c r="B15" s="9" t="s">
        <v>395</v>
      </c>
      <c r="C15" s="9" t="s">
        <v>396</v>
      </c>
      <c r="D15" s="9" t="s">
        <v>397</v>
      </c>
      <c r="E15" s="9" t="s">
        <v>370</v>
      </c>
      <c r="F15" s="10" t="s">
        <v>49</v>
      </c>
      <c r="G15" s="11"/>
      <c r="H15" s="9" t="s">
        <v>398</v>
      </c>
    </row>
    <row r="16" spans="1:8" ht="139.5" customHeight="1">
      <c r="A16" s="12" t="s">
        <v>399</v>
      </c>
      <c r="B16" s="12" t="s">
        <v>400</v>
      </c>
      <c r="C16" s="12" t="s">
        <v>401</v>
      </c>
      <c r="D16" s="12" t="s">
        <v>402</v>
      </c>
      <c r="E16" s="12" t="s">
        <v>370</v>
      </c>
      <c r="F16" s="10" t="s">
        <v>49</v>
      </c>
      <c r="G16" s="11"/>
      <c r="H16" s="9" t="s">
        <v>398</v>
      </c>
    </row>
    <row r="17" spans="1:8" ht="139.5" customHeight="1">
      <c r="A17" s="9" t="s">
        <v>403</v>
      </c>
      <c r="B17" s="9" t="s">
        <v>404</v>
      </c>
      <c r="C17" s="9" t="s">
        <v>405</v>
      </c>
      <c r="D17" s="9" t="s">
        <v>406</v>
      </c>
      <c r="E17" s="9" t="s">
        <v>370</v>
      </c>
      <c r="F17" s="10" t="s">
        <v>49</v>
      </c>
      <c r="G17" s="11"/>
      <c r="H17" s="9" t="s">
        <v>398</v>
      </c>
    </row>
    <row r="18" spans="1:8" ht="139.5" customHeight="1">
      <c r="A18" s="12" t="s">
        <v>407</v>
      </c>
      <c r="B18" s="12" t="s">
        <v>408</v>
      </c>
      <c r="C18" s="12" t="s">
        <v>409</v>
      </c>
      <c r="D18" s="12" t="s">
        <v>410</v>
      </c>
      <c r="E18" s="12" t="s">
        <v>370</v>
      </c>
      <c r="F18" s="10" t="s">
        <v>49</v>
      </c>
      <c r="G18" s="11"/>
      <c r="H18" s="9" t="s">
        <v>411</v>
      </c>
    </row>
    <row r="19" spans="1:8" ht="139.5" customHeight="1">
      <c r="A19" s="9" t="s">
        <v>412</v>
      </c>
      <c r="B19" s="9" t="s">
        <v>413</v>
      </c>
      <c r="C19" s="9" t="s">
        <v>414</v>
      </c>
      <c r="D19" s="9" t="s">
        <v>415</v>
      </c>
      <c r="E19" s="9" t="s">
        <v>370</v>
      </c>
      <c r="F19" s="10" t="s">
        <v>49</v>
      </c>
      <c r="G19" s="11"/>
      <c r="H19" s="9" t="s">
        <v>416</v>
      </c>
    </row>
    <row r="20" spans="1:8" ht="139.5" customHeight="1">
      <c r="A20" s="12" t="s">
        <v>417</v>
      </c>
      <c r="B20" s="12" t="s">
        <v>418</v>
      </c>
      <c r="C20" s="12" t="s">
        <v>419</v>
      </c>
      <c r="D20" s="12" t="s">
        <v>420</v>
      </c>
      <c r="E20" s="12" t="s">
        <v>370</v>
      </c>
      <c r="F20" s="10" t="s">
        <v>49</v>
      </c>
      <c r="G20" s="11"/>
      <c r="H20" s="9" t="s">
        <v>421</v>
      </c>
    </row>
    <row r="21" spans="1:8" ht="139.5" customHeight="1">
      <c r="A21" s="9" t="s">
        <v>422</v>
      </c>
      <c r="B21" s="9" t="s">
        <v>423</v>
      </c>
      <c r="C21" s="9" t="s">
        <v>424</v>
      </c>
      <c r="D21" s="9" t="s">
        <v>425</v>
      </c>
      <c r="E21" s="9" t="s">
        <v>370</v>
      </c>
      <c r="F21" s="10" t="s">
        <v>49</v>
      </c>
      <c r="G21" s="11"/>
      <c r="H21" s="9" t="s">
        <v>426</v>
      </c>
    </row>
    <row r="22" spans="1:8" ht="139.5" customHeight="1">
      <c r="A22" s="12" t="s">
        <v>427</v>
      </c>
      <c r="B22" s="12" t="s">
        <v>428</v>
      </c>
      <c r="C22" s="12" t="s">
        <v>429</v>
      </c>
      <c r="D22" s="12" t="s">
        <v>430</v>
      </c>
      <c r="E22" s="12" t="s">
        <v>370</v>
      </c>
      <c r="F22" s="10" t="s">
        <v>49</v>
      </c>
      <c r="G22" s="11"/>
      <c r="H22" s="9" t="s">
        <v>431</v>
      </c>
    </row>
    <row r="23" spans="1:8" ht="139.5" customHeight="1">
      <c r="A23" s="9" t="s">
        <v>432</v>
      </c>
      <c r="B23" s="9" t="s">
        <v>433</v>
      </c>
      <c r="C23" s="9" t="s">
        <v>434</v>
      </c>
      <c r="D23" s="9" t="s">
        <v>435</v>
      </c>
      <c r="E23" s="9" t="s">
        <v>370</v>
      </c>
      <c r="F23" s="10" t="s">
        <v>49</v>
      </c>
      <c r="G23" s="11"/>
      <c r="H23" s="9" t="s">
        <v>436</v>
      </c>
    </row>
    <row r="24" spans="1:8" ht="139.5" customHeight="1">
      <c r="A24" s="12" t="s">
        <v>437</v>
      </c>
      <c r="B24" s="12" t="s">
        <v>438</v>
      </c>
      <c r="C24" s="12" t="s">
        <v>439</v>
      </c>
      <c r="D24" s="12" t="s">
        <v>440</v>
      </c>
      <c r="E24" s="12" t="s">
        <v>370</v>
      </c>
      <c r="F24" s="10" t="s">
        <v>49</v>
      </c>
      <c r="G24" s="11"/>
      <c r="H24" s="9" t="s">
        <v>441</v>
      </c>
    </row>
    <row r="25" spans="1:8" ht="139.5" customHeight="1">
      <c r="A25" s="9" t="s">
        <v>442</v>
      </c>
      <c r="B25" s="9" t="s">
        <v>443</v>
      </c>
      <c r="C25" s="9" t="s">
        <v>444</v>
      </c>
      <c r="D25" s="9" t="s">
        <v>445</v>
      </c>
      <c r="E25" s="9" t="s">
        <v>370</v>
      </c>
      <c r="F25" s="10" t="s">
        <v>49</v>
      </c>
      <c r="G25" s="11"/>
      <c r="H25" s="9" t="s">
        <v>441</v>
      </c>
    </row>
    <row r="26" spans="1:8" ht="141.75" customHeight="1">
      <c r="A26" s="12" t="s">
        <v>446</v>
      </c>
      <c r="B26" s="12" t="s">
        <v>447</v>
      </c>
      <c r="C26" s="12" t="s">
        <v>448</v>
      </c>
      <c r="D26" s="12" t="s">
        <v>449</v>
      </c>
      <c r="E26" s="12" t="s">
        <v>370</v>
      </c>
      <c r="F26" s="10" t="s">
        <v>49</v>
      </c>
      <c r="G26" s="11"/>
      <c r="H26" s="9" t="s">
        <v>441</v>
      </c>
    </row>
    <row r="27" spans="1:8" ht="141.75" customHeight="1">
      <c r="A27" s="9" t="s">
        <v>450</v>
      </c>
      <c r="B27" s="9" t="s">
        <v>451</v>
      </c>
      <c r="C27" s="9" t="s">
        <v>452</v>
      </c>
      <c r="D27" s="9" t="s">
        <v>453</v>
      </c>
      <c r="E27" s="9" t="s">
        <v>370</v>
      </c>
      <c r="F27" s="10" t="s">
        <v>49</v>
      </c>
      <c r="G27" s="11"/>
      <c r="H27" s="9" t="s">
        <v>454</v>
      </c>
    </row>
    <row r="28" spans="1:8" ht="139.5" customHeight="1">
      <c r="A28" s="12" t="s">
        <v>455</v>
      </c>
      <c r="B28" s="12" t="s">
        <v>456</v>
      </c>
      <c r="C28" s="12" t="s">
        <v>457</v>
      </c>
      <c r="D28" s="12" t="s">
        <v>458</v>
      </c>
      <c r="E28" s="12" t="s">
        <v>370</v>
      </c>
      <c r="F28" s="10" t="s">
        <v>49</v>
      </c>
      <c r="G28" s="11"/>
      <c r="H28" s="9" t="s">
        <v>441</v>
      </c>
    </row>
    <row r="29" spans="1:8" ht="139.5" customHeight="1">
      <c r="A29" s="9" t="s">
        <v>459</v>
      </c>
      <c r="B29" s="9" t="s">
        <v>460</v>
      </c>
      <c r="C29" s="9" t="s">
        <v>461</v>
      </c>
      <c r="D29" s="9" t="s">
        <v>462</v>
      </c>
      <c r="E29" s="9" t="s">
        <v>370</v>
      </c>
      <c r="F29" s="10" t="s">
        <v>49</v>
      </c>
      <c r="G29" s="11"/>
      <c r="H29" s="9" t="s">
        <v>463</v>
      </c>
    </row>
    <row r="30" spans="1:8" ht="139.5" customHeight="1">
      <c r="A30" s="12" t="s">
        <v>464</v>
      </c>
      <c r="B30" s="12" t="s">
        <v>465</v>
      </c>
      <c r="C30" s="12" t="s">
        <v>466</v>
      </c>
      <c r="D30" s="12" t="s">
        <v>467</v>
      </c>
      <c r="E30" s="12" t="s">
        <v>370</v>
      </c>
      <c r="F30" s="10" t="s">
        <v>49</v>
      </c>
      <c r="G30" s="11"/>
      <c r="H30" s="9" t="s">
        <v>463</v>
      </c>
    </row>
    <row r="31" spans="1:8" ht="139.5" customHeight="1">
      <c r="A31" s="9" t="s">
        <v>468</v>
      </c>
      <c r="B31" s="9" t="s">
        <v>469</v>
      </c>
      <c r="C31" s="9" t="s">
        <v>470</v>
      </c>
      <c r="D31" s="9" t="s">
        <v>471</v>
      </c>
      <c r="E31" s="9" t="s">
        <v>370</v>
      </c>
      <c r="F31" s="10" t="s">
        <v>49</v>
      </c>
      <c r="G31" s="11"/>
      <c r="H31" s="9" t="s">
        <v>463</v>
      </c>
    </row>
    <row r="32" spans="1:8" ht="139.5" customHeight="1">
      <c r="A32" s="12" t="s">
        <v>472</v>
      </c>
      <c r="B32" s="12" t="s">
        <v>473</v>
      </c>
      <c r="C32" s="12" t="s">
        <v>474</v>
      </c>
      <c r="D32" s="12" t="s">
        <v>475</v>
      </c>
      <c r="E32" s="12" t="s">
        <v>370</v>
      </c>
      <c r="F32" s="10" t="s">
        <v>49</v>
      </c>
      <c r="G32" s="11"/>
      <c r="H32" s="9" t="s">
        <v>463</v>
      </c>
    </row>
    <row r="33" spans="1:8" ht="139.5" customHeight="1">
      <c r="A33" s="9" t="s">
        <v>476</v>
      </c>
      <c r="B33" s="9" t="s">
        <v>477</v>
      </c>
      <c r="C33" s="9" t="s">
        <v>478</v>
      </c>
      <c r="D33" s="9" t="s">
        <v>479</v>
      </c>
      <c r="E33" s="9" t="s">
        <v>370</v>
      </c>
      <c r="F33" s="10" t="s">
        <v>49</v>
      </c>
      <c r="G33" s="11"/>
      <c r="H33" s="9" t="s">
        <v>463</v>
      </c>
    </row>
    <row r="34" spans="1:8" ht="15.75" customHeight="1"/>
    <row r="35" spans="1:8" ht="15.75" customHeight="1"/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H2"/>
    <mergeCell ref="B3:H3"/>
    <mergeCell ref="B4:H4"/>
    <mergeCell ref="F5:H5"/>
    <mergeCell ref="F6:H6"/>
  </mergeCells>
  <conditionalFormatting sqref="F9:F33">
    <cfRule type="containsText" dxfId="3" priority="1" operator="containsText" text="Passed">
      <formula>NOT(ISERROR(SEARCH(("Passed"),(F9))))</formula>
    </cfRule>
    <cfRule type="containsText" dxfId="2" priority="2" operator="containsText" text="Failed">
      <formula>NOT(ISERROR(SEARCH(("Failed"),(F9))))</formula>
    </cfRule>
    <cfRule type="containsText" dxfId="1" priority="3" operator="containsText" text="Blocked">
      <formula>NOT(ISERROR(SEARCH(("Blocked"),(F9))))</formula>
    </cfRule>
    <cfRule type="containsText" dxfId="0" priority="4" operator="containsText" text="Skipped">
      <formula>NOT(ISERROR(SEARCH(("Skipped"),(F9))))</formula>
    </cfRule>
  </conditionalFormatting>
  <dataValidations count="1">
    <dataValidation type="list" allowBlank="1" sqref="F9:F33" xr:uid="{00000000-0002-0000-0500-000000000000}">
      <formula1>"Passed,Failed,Untested,Blocked,Skipped"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96"/>
  <sheetViews>
    <sheetView showGridLines="0" zoomScale="60" zoomScaleNormal="60" workbookViewId="0">
      <pane ySplit="4" topLeftCell="A12" activePane="bottomLeft" state="frozen"/>
      <selection pane="bottomLeft" activeCell="A7" sqref="A7:XFD9"/>
    </sheetView>
  </sheetViews>
  <sheetFormatPr defaultColWidth="12.59765625" defaultRowHeight="13.8"/>
  <cols>
    <col min="1" max="1" width="26" customWidth="1"/>
    <col min="2" max="2" width="52" customWidth="1"/>
    <col min="3" max="3" width="62" customWidth="1"/>
    <col min="4" max="4" width="61" customWidth="1"/>
    <col min="5" max="5" width="48" customWidth="1"/>
    <col min="6" max="6" width="36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46" t="s">
        <v>480</v>
      </c>
      <c r="B2" s="17"/>
      <c r="C2" s="17"/>
      <c r="D2" s="17"/>
      <c r="E2" s="17"/>
      <c r="F2" s="17"/>
    </row>
    <row r="3" spans="1:6">
      <c r="A3" s="1"/>
      <c r="B3" s="1"/>
      <c r="C3" s="1"/>
      <c r="D3" s="1"/>
      <c r="E3" s="1"/>
      <c r="F3" s="1"/>
    </row>
    <row r="4" spans="1:6" ht="31.5" customHeight="1">
      <c r="A4" s="6" t="s">
        <v>62</v>
      </c>
      <c r="B4" s="6" t="s">
        <v>63</v>
      </c>
      <c r="C4" s="6" t="s">
        <v>64</v>
      </c>
      <c r="D4" s="6" t="s">
        <v>65</v>
      </c>
      <c r="E4" s="6" t="s">
        <v>66</v>
      </c>
      <c r="F4" s="6" t="s">
        <v>67</v>
      </c>
    </row>
    <row r="5" spans="1:6" ht="109.5" customHeight="1">
      <c r="A5" s="4" t="s">
        <v>481</v>
      </c>
      <c r="B5" s="29" t="s">
        <v>674</v>
      </c>
      <c r="C5" s="4" t="s">
        <v>482</v>
      </c>
      <c r="D5" s="4" t="s">
        <v>68</v>
      </c>
      <c r="E5" s="4" t="s">
        <v>483</v>
      </c>
      <c r="F5" s="4" t="s">
        <v>484</v>
      </c>
    </row>
    <row r="6" spans="1:6" ht="109.5" customHeight="1">
      <c r="A6" s="4" t="s">
        <v>69</v>
      </c>
      <c r="B6" s="4" t="s">
        <v>485</v>
      </c>
      <c r="C6" s="4" t="s">
        <v>486</v>
      </c>
      <c r="D6" s="4" t="s">
        <v>487</v>
      </c>
      <c r="E6" s="4" t="s">
        <v>488</v>
      </c>
      <c r="F6" s="4" t="s">
        <v>489</v>
      </c>
    </row>
    <row r="7" spans="1:6" ht="109.5" customHeight="1">
      <c r="A7" s="4" t="s">
        <v>490</v>
      </c>
      <c r="B7" s="4" t="s">
        <v>491</v>
      </c>
      <c r="C7" s="4" t="s">
        <v>492</v>
      </c>
      <c r="D7" s="4" t="s">
        <v>493</v>
      </c>
      <c r="E7" s="4" t="s">
        <v>494</v>
      </c>
      <c r="F7" s="4" t="s">
        <v>495</v>
      </c>
    </row>
    <row r="8" spans="1:6" ht="109.5" customHeight="1">
      <c r="A8" s="4" t="s">
        <v>496</v>
      </c>
      <c r="B8" s="4" t="s">
        <v>497</v>
      </c>
      <c r="C8" s="4" t="s">
        <v>498</v>
      </c>
      <c r="D8" s="4" t="s">
        <v>499</v>
      </c>
      <c r="E8" s="4" t="s">
        <v>500</v>
      </c>
      <c r="F8" s="4" t="s">
        <v>501</v>
      </c>
    </row>
    <row r="9" spans="1:6" ht="109.5" customHeight="1">
      <c r="A9" s="4" t="s">
        <v>502</v>
      </c>
      <c r="B9" s="4" t="s">
        <v>503</v>
      </c>
      <c r="C9" s="4" t="s">
        <v>504</v>
      </c>
      <c r="D9" s="4" t="s">
        <v>505</v>
      </c>
      <c r="E9" s="4" t="s">
        <v>506</v>
      </c>
      <c r="F9" s="4" t="s">
        <v>507</v>
      </c>
    </row>
    <row r="10" spans="1:6" ht="109.5" customHeight="1">
      <c r="A10" s="4" t="s">
        <v>508</v>
      </c>
      <c r="B10" s="4" t="s">
        <v>509</v>
      </c>
      <c r="C10" s="4" t="s">
        <v>510</v>
      </c>
      <c r="D10" s="4" t="s">
        <v>511</v>
      </c>
      <c r="E10" s="4" t="s">
        <v>506</v>
      </c>
      <c r="F10" s="4" t="s">
        <v>512</v>
      </c>
    </row>
    <row r="11" spans="1:6" ht="109.5" customHeight="1">
      <c r="A11" s="4" t="s">
        <v>513</v>
      </c>
      <c r="B11" s="4" t="s">
        <v>514</v>
      </c>
      <c r="C11" s="4" t="s">
        <v>515</v>
      </c>
      <c r="D11" s="4" t="s">
        <v>516</v>
      </c>
      <c r="E11" s="4" t="s">
        <v>517</v>
      </c>
      <c r="F11" s="4" t="s">
        <v>518</v>
      </c>
    </row>
    <row r="12" spans="1:6" ht="109.5" customHeight="1">
      <c r="A12" s="4" t="s">
        <v>519</v>
      </c>
      <c r="B12" s="4" t="s">
        <v>520</v>
      </c>
      <c r="C12" s="4" t="s">
        <v>521</v>
      </c>
      <c r="D12" s="4" t="s">
        <v>522</v>
      </c>
      <c r="E12" s="4" t="s">
        <v>523</v>
      </c>
      <c r="F12" s="4" t="s">
        <v>524</v>
      </c>
    </row>
    <row r="13" spans="1:6" ht="109.5" customHeigh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</row>
    <row r="14" spans="1:6" ht="109.5" customHeight="1">
      <c r="A14" s="4" t="s">
        <v>531</v>
      </c>
      <c r="B14" s="4" t="s">
        <v>532</v>
      </c>
      <c r="C14" s="4" t="s">
        <v>533</v>
      </c>
      <c r="D14" s="4" t="s">
        <v>534</v>
      </c>
      <c r="E14" s="4" t="s">
        <v>535</v>
      </c>
      <c r="F14" s="4" t="s">
        <v>536</v>
      </c>
    </row>
    <row r="15" spans="1:6" ht="109.5" customHeight="1">
      <c r="A15" s="4" t="s">
        <v>537</v>
      </c>
      <c r="B15" s="4" t="s">
        <v>538</v>
      </c>
      <c r="C15" s="4" t="s">
        <v>539</v>
      </c>
      <c r="D15" s="4" t="s">
        <v>540</v>
      </c>
      <c r="E15" s="4" t="s">
        <v>541</v>
      </c>
      <c r="F15" s="4" t="s">
        <v>542</v>
      </c>
    </row>
    <row r="16" spans="1:6" ht="109.5" customHeight="1">
      <c r="A16" s="4" t="s">
        <v>543</v>
      </c>
      <c r="B16" s="4" t="s">
        <v>544</v>
      </c>
      <c r="C16" s="4" t="s">
        <v>545</v>
      </c>
      <c r="D16" s="4" t="s">
        <v>546</v>
      </c>
      <c r="E16" s="4" t="s">
        <v>547</v>
      </c>
      <c r="F16" s="4" t="s">
        <v>548</v>
      </c>
    </row>
    <row r="17" spans="1:6" ht="109.5" customHeight="1">
      <c r="A17" s="4" t="s">
        <v>549</v>
      </c>
      <c r="B17" s="4" t="s">
        <v>550</v>
      </c>
      <c r="C17" s="4" t="s">
        <v>551</v>
      </c>
      <c r="D17" s="4" t="s">
        <v>552</v>
      </c>
      <c r="E17" s="4" t="s">
        <v>553</v>
      </c>
      <c r="F17" s="4" t="s">
        <v>554</v>
      </c>
    </row>
    <row r="18" spans="1:6" ht="109.5" customHeight="1">
      <c r="A18" s="4" t="s">
        <v>555</v>
      </c>
      <c r="B18" s="4" t="s">
        <v>556</v>
      </c>
      <c r="C18" s="4" t="s">
        <v>557</v>
      </c>
      <c r="D18" s="4" t="s">
        <v>558</v>
      </c>
      <c r="E18" s="4" t="s">
        <v>559</v>
      </c>
      <c r="F18" s="4" t="s">
        <v>560</v>
      </c>
    </row>
    <row r="19" spans="1:6" ht="109.5" customHeight="1">
      <c r="A19" s="4" t="s">
        <v>561</v>
      </c>
      <c r="B19" s="4" t="s">
        <v>562</v>
      </c>
      <c r="C19" s="4" t="s">
        <v>563</v>
      </c>
      <c r="D19" s="4" t="s">
        <v>558</v>
      </c>
      <c r="E19" s="4" t="s">
        <v>564</v>
      </c>
      <c r="F19" s="4" t="s">
        <v>565</v>
      </c>
    </row>
    <row r="20" spans="1:6" ht="109.5" customHeight="1">
      <c r="A20" s="4" t="s">
        <v>566</v>
      </c>
      <c r="B20" s="4" t="s">
        <v>567</v>
      </c>
      <c r="C20" s="4" t="s">
        <v>568</v>
      </c>
      <c r="D20" s="4" t="s">
        <v>569</v>
      </c>
      <c r="E20" s="4" t="s">
        <v>570</v>
      </c>
      <c r="F20" s="4" t="s">
        <v>571</v>
      </c>
    </row>
    <row r="21" spans="1:6" ht="109.5" customHeight="1">
      <c r="A21" s="4" t="s">
        <v>572</v>
      </c>
      <c r="B21" s="4" t="s">
        <v>573</v>
      </c>
      <c r="C21" s="4" t="s">
        <v>574</v>
      </c>
      <c r="D21" s="4" t="s">
        <v>575</v>
      </c>
      <c r="E21" s="4" t="s">
        <v>576</v>
      </c>
      <c r="F21" s="4" t="s">
        <v>577</v>
      </c>
    </row>
    <row r="22" spans="1:6" ht="15.75" customHeight="1">
      <c r="A22" s="1"/>
      <c r="B22" s="1"/>
      <c r="C22" s="1"/>
      <c r="D22" s="1"/>
      <c r="E22" s="1"/>
      <c r="F22" s="1"/>
    </row>
    <row r="23" spans="1:6" ht="15.75" customHeight="1">
      <c r="A23" s="6" t="s">
        <v>70</v>
      </c>
      <c r="B23" s="6" t="s">
        <v>71</v>
      </c>
      <c r="C23" s="6" t="s">
        <v>72</v>
      </c>
      <c r="D23" s="1"/>
      <c r="E23" s="1"/>
      <c r="F23" s="1"/>
    </row>
    <row r="24" spans="1:6" ht="69.75" customHeight="1">
      <c r="A24" s="4" t="s">
        <v>578</v>
      </c>
      <c r="B24" s="47" t="s">
        <v>23</v>
      </c>
      <c r="C24" s="29" t="s">
        <v>642</v>
      </c>
      <c r="D24" s="1"/>
      <c r="E24" s="1"/>
      <c r="F24" s="1"/>
    </row>
    <row r="25" spans="1:6" ht="69.75" customHeight="1">
      <c r="A25" s="4" t="s">
        <v>579</v>
      </c>
      <c r="B25" s="47" t="s">
        <v>580</v>
      </c>
      <c r="C25" s="29" t="s">
        <v>643</v>
      </c>
      <c r="D25" s="1"/>
      <c r="E25" s="1"/>
      <c r="F25" s="1"/>
    </row>
    <row r="26" spans="1:6" ht="69.75" customHeight="1">
      <c r="A26" s="4" t="s">
        <v>581</v>
      </c>
      <c r="B26" s="47" t="s">
        <v>582</v>
      </c>
      <c r="C26" s="29" t="s">
        <v>644</v>
      </c>
      <c r="D26" s="1"/>
      <c r="E26" s="1"/>
      <c r="F26" s="1"/>
    </row>
    <row r="27" spans="1:6" ht="69.75" customHeight="1">
      <c r="A27" s="4" t="s">
        <v>583</v>
      </c>
      <c r="B27" s="47" t="s">
        <v>584</v>
      </c>
      <c r="C27" s="29" t="s">
        <v>645</v>
      </c>
      <c r="D27" s="1"/>
      <c r="E27" s="1"/>
      <c r="F27" s="1"/>
    </row>
    <row r="28" spans="1:6" ht="69.75" customHeight="1">
      <c r="A28" s="4" t="s">
        <v>585</v>
      </c>
      <c r="B28" s="47" t="s">
        <v>586</v>
      </c>
      <c r="C28" s="29" t="s">
        <v>646</v>
      </c>
      <c r="D28" s="1"/>
      <c r="E28" s="1"/>
      <c r="F28" s="1"/>
    </row>
    <row r="29" spans="1:6" ht="69.75" customHeight="1">
      <c r="A29" s="29" t="s">
        <v>647</v>
      </c>
      <c r="B29" s="47" t="s">
        <v>587</v>
      </c>
      <c r="C29" s="29" t="s">
        <v>648</v>
      </c>
      <c r="D29" s="1"/>
      <c r="E29" s="1"/>
      <c r="F29" s="1"/>
    </row>
    <row r="30" spans="1:6" ht="15.75" customHeight="1">
      <c r="A30" s="1"/>
      <c r="B30" s="1"/>
      <c r="C30" s="1"/>
      <c r="D30" s="1"/>
      <c r="E30" s="1"/>
      <c r="F30" s="1"/>
    </row>
    <row r="31" spans="1:6" ht="15.75" customHeight="1">
      <c r="A31" s="1"/>
      <c r="B31" s="1"/>
      <c r="C31" s="1"/>
      <c r="D31" s="1"/>
      <c r="E31" s="1"/>
      <c r="F31" s="1"/>
    </row>
    <row r="32" spans="1:6" ht="15.75" customHeight="1">
      <c r="A32" s="1"/>
      <c r="B32" s="1"/>
      <c r="C32" s="1"/>
      <c r="D32" s="1"/>
      <c r="E32" s="1"/>
      <c r="F32" s="1"/>
    </row>
    <row r="33" spans="1:6" ht="15.75" customHeight="1">
      <c r="A33" s="1"/>
      <c r="B33" s="1"/>
      <c r="C33" s="1"/>
      <c r="D33" s="1"/>
      <c r="E33" s="1"/>
      <c r="F33" s="1"/>
    </row>
    <row r="34" spans="1:6" ht="15.75" customHeight="1">
      <c r="A34" s="1"/>
      <c r="B34" s="1"/>
      <c r="C34" s="1"/>
      <c r="D34" s="1"/>
      <c r="E34" s="1"/>
      <c r="F34" s="1"/>
    </row>
    <row r="35" spans="1:6" ht="15.75" customHeight="1">
      <c r="A35" s="1"/>
      <c r="B35" s="1"/>
      <c r="C35" s="1"/>
      <c r="D35" s="1"/>
      <c r="E35" s="1"/>
      <c r="F35" s="1"/>
    </row>
    <row r="36" spans="1:6" ht="15.75" customHeight="1">
      <c r="A36" s="1"/>
      <c r="B36" s="1"/>
      <c r="C36" s="1"/>
      <c r="D36" s="1"/>
      <c r="E36" s="1"/>
      <c r="F36" s="1"/>
    </row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A2:F2"/>
  </mergeCells>
  <hyperlinks>
    <hyperlink ref="B24" r:id="rId1" xr:uid="{62A703F4-3291-4E0C-BB26-4E4DBDF2E630}"/>
    <hyperlink ref="B25" r:id="rId2" xr:uid="{D32ED5B7-2F03-4537-A140-9FA396F10291}"/>
    <hyperlink ref="B26" r:id="rId3" xr:uid="{D765EC36-3AD7-432C-9B2B-1C1B3CFD57FA}"/>
    <hyperlink ref="B27" r:id="rId4" xr:uid="{5FFA2BF2-A8E1-4E10-9DB8-297348357F65}"/>
    <hyperlink ref="B28" r:id="rId5" xr:uid="{01E73FCB-1560-46C4-8E74-2B48F513FFC9}"/>
    <hyperlink ref="B29" r:id="rId6" xr:uid="{DC2F7294-D76F-49A3-A21F-6E73DCA252D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zoomScale="70" zoomScaleNormal="70" workbookViewId="0">
      <pane ySplit="4" topLeftCell="A5" activePane="bottomLeft" state="frozen"/>
      <selection pane="bottomLeft" activeCell="C5" sqref="C5"/>
    </sheetView>
  </sheetViews>
  <sheetFormatPr defaultColWidth="12.59765625" defaultRowHeight="13.8"/>
  <cols>
    <col min="1" max="1" width="9" customWidth="1"/>
    <col min="2" max="2" width="28" customWidth="1"/>
    <col min="3" max="3" width="70" customWidth="1"/>
    <col min="4" max="4" width="62" customWidth="1"/>
    <col min="5" max="5" width="38" customWidth="1"/>
    <col min="6" max="6" width="20" customWidth="1"/>
    <col min="7" max="26" width="8.59765625" customWidth="1"/>
  </cols>
  <sheetData>
    <row r="1" spans="1:6">
      <c r="A1" s="1"/>
      <c r="B1" s="1"/>
      <c r="C1" s="1"/>
      <c r="D1" s="1"/>
      <c r="E1" s="1"/>
      <c r="F1" s="1"/>
    </row>
    <row r="2" spans="1:6" ht="42" customHeight="1">
      <c r="A2" s="16" t="s">
        <v>73</v>
      </c>
      <c r="B2" s="17"/>
      <c r="C2" s="17"/>
      <c r="D2" s="17"/>
      <c r="E2" s="17"/>
      <c r="F2" s="17"/>
    </row>
    <row r="3" spans="1:6">
      <c r="A3" s="1"/>
      <c r="B3" s="1"/>
      <c r="C3" s="1"/>
      <c r="D3" s="1"/>
      <c r="E3" s="1"/>
      <c r="F3" s="1"/>
    </row>
    <row r="4" spans="1:6">
      <c r="A4" s="6" t="s">
        <v>28</v>
      </c>
      <c r="B4" s="6" t="s">
        <v>74</v>
      </c>
      <c r="C4" s="6" t="s">
        <v>75</v>
      </c>
      <c r="D4" s="6" t="s">
        <v>76</v>
      </c>
      <c r="E4" s="6" t="s">
        <v>77</v>
      </c>
      <c r="F4" s="6" t="s">
        <v>78</v>
      </c>
    </row>
    <row r="5" spans="1:6" ht="103.5" customHeight="1">
      <c r="A5" s="4">
        <v>1</v>
      </c>
      <c r="B5" s="4" t="s">
        <v>588</v>
      </c>
      <c r="C5" s="29" t="s">
        <v>628</v>
      </c>
      <c r="D5" s="4" t="s">
        <v>589</v>
      </c>
      <c r="E5" s="4" t="s">
        <v>590</v>
      </c>
      <c r="F5" s="4" t="s">
        <v>591</v>
      </c>
    </row>
    <row r="6" spans="1:6" ht="103.5" customHeight="1">
      <c r="A6" s="4">
        <v>2</v>
      </c>
      <c r="B6" s="4" t="s">
        <v>592</v>
      </c>
      <c r="C6" s="4" t="s">
        <v>629</v>
      </c>
      <c r="D6" s="4" t="s">
        <v>593</v>
      </c>
      <c r="E6" s="4" t="s">
        <v>594</v>
      </c>
      <c r="F6" s="4" t="s">
        <v>591</v>
      </c>
    </row>
    <row r="7" spans="1:6" ht="103.5" customHeight="1">
      <c r="A7" s="4">
        <v>3</v>
      </c>
      <c r="B7" s="4" t="s">
        <v>595</v>
      </c>
      <c r="C7" s="4" t="s">
        <v>630</v>
      </c>
      <c r="D7" s="4" t="s">
        <v>596</v>
      </c>
      <c r="E7" s="4" t="s">
        <v>597</v>
      </c>
      <c r="F7" s="4" t="s">
        <v>591</v>
      </c>
    </row>
    <row r="8" spans="1:6" ht="103.5" customHeight="1">
      <c r="A8" s="4">
        <v>4</v>
      </c>
      <c r="B8" s="4" t="s">
        <v>598</v>
      </c>
      <c r="C8" s="4" t="s">
        <v>631</v>
      </c>
      <c r="D8" s="4" t="s">
        <v>599</v>
      </c>
      <c r="E8" s="4" t="s">
        <v>600</v>
      </c>
      <c r="F8" s="4" t="s">
        <v>591</v>
      </c>
    </row>
    <row r="9" spans="1:6" ht="103.5" customHeight="1">
      <c r="A9" s="4">
        <v>5</v>
      </c>
      <c r="B9" s="4" t="s">
        <v>601</v>
      </c>
      <c r="C9" s="4" t="s">
        <v>632</v>
      </c>
      <c r="D9" s="4" t="s">
        <v>602</v>
      </c>
      <c r="E9" s="4" t="s">
        <v>603</v>
      </c>
      <c r="F9" s="4" t="s">
        <v>591</v>
      </c>
    </row>
    <row r="10" spans="1:6" ht="103.5" customHeight="1">
      <c r="A10" s="4">
        <v>6</v>
      </c>
      <c r="B10" s="4" t="s">
        <v>604</v>
      </c>
      <c r="C10" s="4" t="s">
        <v>633</v>
      </c>
      <c r="D10" s="4" t="s">
        <v>605</v>
      </c>
      <c r="E10" s="4" t="s">
        <v>606</v>
      </c>
      <c r="F10" s="4" t="s">
        <v>591</v>
      </c>
    </row>
    <row r="11" spans="1:6" ht="103.5" customHeight="1">
      <c r="A11" s="4">
        <v>7</v>
      </c>
      <c r="B11" s="4" t="s">
        <v>607</v>
      </c>
      <c r="C11" s="4" t="s">
        <v>634</v>
      </c>
      <c r="D11" s="4" t="s">
        <v>608</v>
      </c>
      <c r="E11" s="4" t="s">
        <v>609</v>
      </c>
      <c r="F11" s="4" t="s">
        <v>591</v>
      </c>
    </row>
    <row r="12" spans="1:6" ht="103.5" customHeight="1">
      <c r="A12" s="4">
        <v>8</v>
      </c>
      <c r="B12" s="4" t="s">
        <v>610</v>
      </c>
      <c r="C12" s="4" t="s">
        <v>635</v>
      </c>
      <c r="D12" s="4" t="s">
        <v>611</v>
      </c>
      <c r="E12" s="4" t="s">
        <v>612</v>
      </c>
      <c r="F12" s="4" t="s">
        <v>591</v>
      </c>
    </row>
    <row r="13" spans="1:6" ht="103.5" customHeight="1">
      <c r="A13" s="4">
        <v>9</v>
      </c>
      <c r="B13" s="4" t="s">
        <v>613</v>
      </c>
      <c r="C13" s="4" t="s">
        <v>636</v>
      </c>
      <c r="D13" s="4" t="s">
        <v>614</v>
      </c>
      <c r="E13" s="4" t="s">
        <v>615</v>
      </c>
      <c r="F13" s="4" t="s">
        <v>591</v>
      </c>
    </row>
    <row r="14" spans="1:6" ht="103.2" customHeight="1">
      <c r="A14" s="4">
        <v>10</v>
      </c>
      <c r="B14" s="4" t="s">
        <v>616</v>
      </c>
      <c r="C14" s="4" t="s">
        <v>637</v>
      </c>
      <c r="D14" s="4" t="s">
        <v>617</v>
      </c>
      <c r="E14" s="4" t="s">
        <v>618</v>
      </c>
      <c r="F14" s="4" t="s">
        <v>591</v>
      </c>
    </row>
    <row r="15" spans="1:6" ht="102" customHeight="1">
      <c r="A15" s="4">
        <v>11</v>
      </c>
      <c r="B15" s="4" t="s">
        <v>619</v>
      </c>
      <c r="C15" s="4" t="s">
        <v>638</v>
      </c>
      <c r="D15" s="4" t="s">
        <v>620</v>
      </c>
      <c r="E15" s="4" t="s">
        <v>621</v>
      </c>
      <c r="F15" s="4" t="s">
        <v>591</v>
      </c>
    </row>
    <row r="16" spans="1:6" ht="102.6" customHeight="1">
      <c r="A16" s="4">
        <v>12</v>
      </c>
      <c r="B16" s="4" t="s">
        <v>622</v>
      </c>
      <c r="C16" s="4" t="s">
        <v>639</v>
      </c>
      <c r="D16" s="4" t="s">
        <v>623</v>
      </c>
      <c r="E16" s="4" t="s">
        <v>624</v>
      </c>
      <c r="F16" s="4" t="s">
        <v>591</v>
      </c>
    </row>
    <row r="17" spans="1:6" ht="102.6" customHeight="1">
      <c r="A17" s="4">
        <v>13</v>
      </c>
      <c r="B17" s="4" t="s">
        <v>625</v>
      </c>
      <c r="C17" s="4" t="s">
        <v>640</v>
      </c>
      <c r="D17" s="4" t="s">
        <v>626</v>
      </c>
      <c r="E17" s="4" t="s">
        <v>627</v>
      </c>
      <c r="F17" s="4" t="s">
        <v>591</v>
      </c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F2"/>
  </mergeCells>
  <dataValidations count="1">
    <dataValidation type="list" sqref="F5:F17" xr:uid="{A1958976-E4C4-4D0B-8C9D-4030CD837BCF}">
      <formula1>"Not Started,In Progress,Done,Blocked"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1000"/>
  <sheetViews>
    <sheetView showGridLines="0" tabSelected="1" workbookViewId="0">
      <selection activeCell="B20" sqref="B20:I20"/>
    </sheetView>
  </sheetViews>
  <sheetFormatPr defaultColWidth="12.59765625" defaultRowHeight="13.8"/>
  <cols>
    <col min="1" max="1" width="3" customWidth="1"/>
    <col min="2" max="2" width="7" customWidth="1"/>
    <col min="3" max="3" width="28" customWidth="1"/>
    <col min="4" max="5" width="15" customWidth="1"/>
    <col min="6" max="6" width="17" customWidth="1"/>
    <col min="7" max="8" width="15" customWidth="1"/>
    <col min="9" max="9" width="16" customWidth="1"/>
    <col min="10" max="26" width="8.59765625" customWidth="1"/>
  </cols>
  <sheetData>
    <row r="1" spans="2:9" ht="42" customHeight="1">
      <c r="B1" s="16" t="s">
        <v>79</v>
      </c>
      <c r="C1" s="17"/>
      <c r="D1" s="17"/>
      <c r="E1" s="17"/>
      <c r="F1" s="17"/>
      <c r="G1" s="17"/>
      <c r="H1" s="17"/>
      <c r="I1" s="17"/>
    </row>
    <row r="2" spans="2:9">
      <c r="B2" s="1"/>
      <c r="C2" s="1"/>
      <c r="D2" s="1"/>
      <c r="E2" s="1"/>
      <c r="F2" s="1"/>
      <c r="G2" s="1"/>
      <c r="H2" s="1"/>
      <c r="I2" s="1"/>
    </row>
    <row r="3" spans="2:9">
      <c r="B3" s="14" t="s">
        <v>1</v>
      </c>
      <c r="C3" s="15"/>
      <c r="D3" s="14" t="str">
        <f>Cover!C4</f>
        <v>OrangeHRM Recruitment</v>
      </c>
      <c r="E3" s="15"/>
      <c r="F3" s="15"/>
      <c r="G3" s="15"/>
      <c r="H3" s="15"/>
      <c r="I3" s="15"/>
    </row>
    <row r="4" spans="2:9">
      <c r="B4" s="14" t="s">
        <v>6</v>
      </c>
      <c r="C4" s="15"/>
      <c r="D4" s="14" t="str">
        <f>Cover!C6</f>
        <v>Group01_23130299_NguyenVanThang</v>
      </c>
      <c r="E4" s="15"/>
      <c r="F4" s="15"/>
      <c r="G4" s="15"/>
      <c r="H4" s="15"/>
      <c r="I4" s="15"/>
    </row>
    <row r="5" spans="2:9">
      <c r="B5" s="14" t="s">
        <v>80</v>
      </c>
      <c r="C5" s="15"/>
      <c r="D5" s="25"/>
      <c r="E5" s="18"/>
      <c r="F5" s="18"/>
      <c r="G5" s="25"/>
      <c r="H5" s="18"/>
      <c r="I5" s="18"/>
    </row>
    <row r="6" spans="2:9">
      <c r="B6" s="14" t="s">
        <v>81</v>
      </c>
      <c r="C6" s="15"/>
      <c r="D6" s="25"/>
      <c r="E6" s="18"/>
      <c r="F6" s="18"/>
      <c r="G6" s="18"/>
      <c r="H6" s="18"/>
      <c r="I6" s="18"/>
    </row>
    <row r="7" spans="2:9">
      <c r="B7" s="1"/>
      <c r="C7" s="1"/>
      <c r="D7" s="1"/>
      <c r="E7" s="1"/>
      <c r="F7" s="1"/>
      <c r="G7" s="1"/>
      <c r="H7" s="1"/>
      <c r="I7" s="1"/>
    </row>
    <row r="8" spans="2:9">
      <c r="B8" s="1"/>
      <c r="C8" s="1"/>
      <c r="D8" s="1"/>
      <c r="E8" s="1"/>
      <c r="F8" s="1"/>
      <c r="G8" s="1"/>
      <c r="H8" s="1"/>
      <c r="I8" s="1"/>
    </row>
    <row r="9" spans="2:9" ht="31.5" customHeight="1">
      <c r="B9" s="6" t="s">
        <v>28</v>
      </c>
      <c r="C9" s="6" t="s">
        <v>44</v>
      </c>
      <c r="D9" s="6" t="s">
        <v>47</v>
      </c>
      <c r="E9" s="6" t="s">
        <v>48</v>
      </c>
      <c r="F9" s="6" t="s">
        <v>49</v>
      </c>
      <c r="G9" s="6" t="s">
        <v>50</v>
      </c>
      <c r="H9" s="6" t="s">
        <v>51</v>
      </c>
      <c r="I9" s="6" t="s">
        <v>82</v>
      </c>
    </row>
    <row r="10" spans="2:9" ht="30" customHeight="1">
      <c r="B10" s="4">
        <v>1</v>
      </c>
      <c r="C10" s="4" t="s">
        <v>33</v>
      </c>
      <c r="D10" s="4">
        <f>RECRUIT_VAC!A6</f>
        <v>0</v>
      </c>
      <c r="E10" s="4">
        <f>RECRUIT_VAC!B6</f>
        <v>0</v>
      </c>
      <c r="F10" s="4">
        <f>RECRUIT_VAC!C6</f>
        <v>25</v>
      </c>
      <c r="G10" s="4">
        <f>RECRUIT_VAC!D6</f>
        <v>0</v>
      </c>
      <c r="H10" s="4">
        <f>RECRUIT_VAC!E6</f>
        <v>0</v>
      </c>
      <c r="I10" s="4">
        <f>RECRUIT_VAC!F6</f>
        <v>25</v>
      </c>
    </row>
    <row r="11" spans="2:9" ht="30" customHeight="1">
      <c r="B11" s="4">
        <v>2</v>
      </c>
      <c r="C11" s="4" t="s">
        <v>34</v>
      </c>
      <c r="D11" s="4">
        <f>RECRUIT_CAND!A6</f>
        <v>0</v>
      </c>
      <c r="E11" s="4">
        <f>RECRUIT_CAND!B6</f>
        <v>0</v>
      </c>
      <c r="F11" s="4">
        <f>RECRUIT_CAND!C6</f>
        <v>25</v>
      </c>
      <c r="G11" s="4">
        <f>RECRUIT_CAND!D6</f>
        <v>0</v>
      </c>
      <c r="H11" s="4">
        <f>RECRUIT_CAND!E6</f>
        <v>0</v>
      </c>
      <c r="I11" s="4">
        <f>RECRUIT_CAND!F6</f>
        <v>25</v>
      </c>
    </row>
    <row r="12" spans="2:9" ht="30" customHeight="1">
      <c r="B12" s="4">
        <v>3</v>
      </c>
      <c r="C12" s="4" t="s">
        <v>35</v>
      </c>
      <c r="D12" s="4">
        <f>RECRUIT_FLOW!A6</f>
        <v>0</v>
      </c>
      <c r="E12" s="4">
        <f>RECRUIT_FLOW!B6</f>
        <v>0</v>
      </c>
      <c r="F12" s="4">
        <f>RECRUIT_FLOW!C6</f>
        <v>25</v>
      </c>
      <c r="G12" s="4">
        <f>RECRUIT_FLOW!D6</f>
        <v>0</v>
      </c>
      <c r="H12" s="4">
        <f>RECRUIT_FLOW!E6</f>
        <v>0</v>
      </c>
      <c r="I12" s="4">
        <f>RECRUIT_FLOW!F6</f>
        <v>25</v>
      </c>
    </row>
    <row r="13" spans="2:9">
      <c r="B13" s="1"/>
      <c r="C13" s="1"/>
      <c r="D13" s="1"/>
      <c r="E13" s="1"/>
      <c r="F13" s="1"/>
      <c r="G13" s="1"/>
      <c r="H13" s="1"/>
      <c r="I13" s="1"/>
    </row>
    <row r="14" spans="2:9">
      <c r="B14" s="26" t="s">
        <v>82</v>
      </c>
      <c r="C14" s="18"/>
      <c r="D14" s="13">
        <f t="shared" ref="D14:I14" si="0">SUM(D10:D12)</f>
        <v>0</v>
      </c>
      <c r="E14" s="13">
        <f t="shared" si="0"/>
        <v>0</v>
      </c>
      <c r="F14" s="13">
        <f t="shared" si="0"/>
        <v>75</v>
      </c>
      <c r="G14" s="13">
        <f t="shared" si="0"/>
        <v>0</v>
      </c>
      <c r="H14" s="13">
        <f t="shared" si="0"/>
        <v>0</v>
      </c>
      <c r="I14" s="13">
        <f t="shared" si="0"/>
        <v>75</v>
      </c>
    </row>
    <row r="15" spans="2:9">
      <c r="B15" s="1"/>
      <c r="C15" s="1"/>
      <c r="D15" s="1"/>
      <c r="E15" s="1"/>
      <c r="F15" s="1"/>
      <c r="G15" s="1"/>
      <c r="H15" s="1"/>
      <c r="I15" s="1"/>
    </row>
    <row r="16" spans="2:9">
      <c r="B16" s="1"/>
      <c r="C16" s="1"/>
      <c r="D16" s="1"/>
      <c r="E16" s="1"/>
      <c r="F16" s="1"/>
      <c r="G16" s="1"/>
      <c r="H16" s="1"/>
      <c r="I16" s="1"/>
    </row>
    <row r="17" spans="2:9">
      <c r="B17" s="14" t="s">
        <v>83</v>
      </c>
      <c r="C17" s="15"/>
      <c r="D17" s="15"/>
      <c r="E17" s="27">
        <f>IF(I14=0,"",(D14+E14)/I14)</f>
        <v>0</v>
      </c>
      <c r="F17" s="15"/>
      <c r="G17" s="1"/>
      <c r="H17" s="1"/>
      <c r="I17" s="1"/>
    </row>
    <row r="18" spans="2:9">
      <c r="B18" s="14" t="s">
        <v>84</v>
      </c>
      <c r="C18" s="15"/>
      <c r="D18" s="15"/>
      <c r="E18" s="27" t="str">
        <f>IF(D14+E14=0,"Chưa thực thi",D14/(D14+E14))</f>
        <v>Chưa thực thi</v>
      </c>
      <c r="F18" s="15"/>
      <c r="G18" s="1"/>
      <c r="H18" s="1"/>
      <c r="I18" s="1"/>
    </row>
    <row r="19" spans="2:9">
      <c r="B19" s="1"/>
      <c r="C19" s="1"/>
      <c r="D19" s="1"/>
      <c r="E19" s="1"/>
      <c r="F19" s="1"/>
      <c r="G19" s="1"/>
      <c r="H19" s="1"/>
      <c r="I19" s="1"/>
    </row>
    <row r="20" spans="2:9" ht="39.75" customHeight="1">
      <c r="B20" s="22" t="s">
        <v>85</v>
      </c>
      <c r="C20" s="17"/>
      <c r="D20" s="17"/>
      <c r="E20" s="17"/>
      <c r="F20" s="17"/>
      <c r="G20" s="17"/>
      <c r="H20" s="17"/>
      <c r="I20" s="17"/>
    </row>
    <row r="21" spans="2:9" ht="15.75" customHeight="1">
      <c r="B21" s="1"/>
      <c r="C21" s="1"/>
      <c r="D21" s="1"/>
      <c r="E21" s="1"/>
      <c r="F21" s="1"/>
      <c r="G21" s="1"/>
      <c r="H21" s="1"/>
      <c r="I21" s="1"/>
    </row>
    <row r="22" spans="2:9" ht="39.75" customHeight="1">
      <c r="B22" s="22" t="s">
        <v>86</v>
      </c>
      <c r="C22" s="17"/>
      <c r="D22" s="17"/>
      <c r="E22" s="17"/>
      <c r="F22" s="17"/>
      <c r="G22" s="17"/>
      <c r="H22" s="17"/>
      <c r="I22" s="17"/>
    </row>
    <row r="23" spans="2:9" ht="15.75" customHeight="1">
      <c r="B23" s="1"/>
      <c r="C23" s="1"/>
      <c r="D23" s="1"/>
      <c r="E23" s="1"/>
      <c r="F23" s="1"/>
      <c r="G23" s="1"/>
      <c r="H23" s="1"/>
      <c r="I23" s="1"/>
    </row>
    <row r="24" spans="2:9" ht="15.75" customHeight="1"/>
    <row r="25" spans="2:9" ht="15.75" customHeight="1"/>
    <row r="26" spans="2:9" ht="15.75" customHeight="1"/>
    <row r="27" spans="2:9" ht="15.75" customHeight="1"/>
    <row r="28" spans="2:9" ht="15.75" customHeight="1"/>
    <row r="29" spans="2:9" ht="15.75" customHeight="1"/>
    <row r="30" spans="2:9" ht="15.75" customHeight="1"/>
    <row r="31" spans="2:9" ht="15.75" customHeight="1"/>
    <row r="32" spans="2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B1:I1"/>
    <mergeCell ref="B3:C3"/>
    <mergeCell ref="D3:I3"/>
    <mergeCell ref="B4:C4"/>
    <mergeCell ref="D4:I4"/>
    <mergeCell ref="D5:F5"/>
    <mergeCell ref="G5:I5"/>
    <mergeCell ref="D6:I6"/>
    <mergeCell ref="B20:I20"/>
    <mergeCell ref="B22:I22"/>
    <mergeCell ref="B5:C5"/>
    <mergeCell ref="B6:C6"/>
    <mergeCell ref="B14:C14"/>
    <mergeCell ref="B17:D17"/>
    <mergeCell ref="E17:F17"/>
    <mergeCell ref="B18:D18"/>
    <mergeCell ref="E18:F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TestDesign</vt:lpstr>
      <vt:lpstr>RECRUIT_VAC</vt:lpstr>
      <vt:lpstr>RECRUIT_CAND</vt:lpstr>
      <vt:lpstr>RECRUIT_FLOW</vt:lpstr>
      <vt:lpstr>Test Data</vt:lpstr>
      <vt:lpstr>Automation Plan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Ground John</cp:lastModifiedBy>
  <dcterms:modified xsi:type="dcterms:W3CDTF">2026-10-18T18:43:44Z</dcterms:modified>
</cp:coreProperties>
</file>