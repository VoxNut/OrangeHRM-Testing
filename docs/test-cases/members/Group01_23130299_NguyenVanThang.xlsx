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dmin\IdeaProjects\OrangeHRM-Testing\docs\test-cases\members\"/>
    </mc:Choice>
  </mc:AlternateContent>
  <xr:revisionPtr revIDLastSave="0" documentId="13_ncr:1_{8D6AB4FE-39FC-4F52-BFD0-0D3C57F71ED7}" xr6:coauthVersionLast="47" xr6:coauthVersionMax="47" xr10:uidLastSave="{00000000-0000-0000-0000-000000000000}"/>
  <bookViews>
    <workbookView xWindow="-108" yWindow="-108" windowWidth="23256" windowHeight="12456" firstSheet="3" activeTab="5" xr2:uid="{00000000-000D-0000-FFFF-FFFF00000000}"/>
  </bookViews>
  <sheets>
    <sheet name="Cover" sheetId="1" r:id="rId1"/>
    <sheet name="Test case List" sheetId="2" r:id="rId2"/>
    <sheet name="TestDesign" sheetId="3" r:id="rId3"/>
    <sheet name="RECRUIT_VAC" sheetId="4" r:id="rId4"/>
    <sheet name="RECRUIT_CAND" sheetId="5" r:id="rId5"/>
    <sheet name="RECRUIT_FLOW" sheetId="6" r:id="rId6"/>
    <sheet name="Test Data" sheetId="7" r:id="rId7"/>
    <sheet name="Automation Plan" sheetId="8" r:id="rId8"/>
    <sheet name="Test Repor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9" l="1"/>
  <c r="D3" i="9"/>
  <c r="F6" i="6"/>
  <c r="I12" i="9" s="1"/>
  <c r="E6" i="6"/>
  <c r="H12" i="9" s="1"/>
  <c r="D6" i="6"/>
  <c r="G12" i="9" s="1"/>
  <c r="C6" i="6"/>
  <c r="F12" i="9" s="1"/>
  <c r="B6" i="6"/>
  <c r="E12" i="9" s="1"/>
  <c r="A6" i="6"/>
  <c r="D12" i="9" s="1"/>
  <c r="F6" i="5"/>
  <c r="I11" i="9" s="1"/>
  <c r="E6" i="5"/>
  <c r="H11" i="9" s="1"/>
  <c r="D6" i="5"/>
  <c r="G11" i="9" s="1"/>
  <c r="C6" i="5"/>
  <c r="F11" i="9" s="1"/>
  <c r="B6" i="5"/>
  <c r="E11" i="9" s="1"/>
  <c r="A6" i="5"/>
  <c r="D11" i="9" s="1"/>
  <c r="F6" i="4"/>
  <c r="I10" i="9" s="1"/>
  <c r="E6" i="4"/>
  <c r="H10" i="9" s="1"/>
  <c r="D6" i="4"/>
  <c r="G10" i="9" s="1"/>
  <c r="C6" i="4"/>
  <c r="F10" i="9" s="1"/>
  <c r="B6" i="4"/>
  <c r="E10" i="9" s="1"/>
  <c r="A6" i="4"/>
  <c r="D10" i="9" s="1"/>
  <c r="D5" i="2"/>
  <c r="D4" i="2"/>
  <c r="G14" i="9" l="1"/>
  <c r="H14" i="9"/>
  <c r="D14" i="9"/>
  <c r="I14" i="9"/>
  <c r="F14" i="9"/>
  <c r="E14" i="9"/>
  <c r="E17" i="9" l="1"/>
  <c r="E18" i="9"/>
</calcChain>
</file>

<file path=xl/sharedStrings.xml><?xml version="1.0" encoding="utf-8"?>
<sst xmlns="http://schemas.openxmlformats.org/spreadsheetml/2006/main" count="975" uniqueCount="698">
  <si>
    <t>TEST CASE</t>
  </si>
  <si>
    <t>Project Name</t>
  </si>
  <si>
    <t>Creator</t>
  </si>
  <si>
    <t>Project Code</t>
  </si>
  <si>
    <t>Group01_OrangeHRM</t>
  </si>
  <si>
    <t>Reviewer / Approver</t>
  </si>
  <si>
    <t>Document Code</t>
  </si>
  <si>
    <t>Issue Date</t>
  </si>
  <si>
    <t>Version</t>
  </si>
  <si>
    <t>1.0</t>
  </si>
  <si>
    <t>Record of change</t>
  </si>
  <si>
    <t>Effective Date</t>
  </si>
  <si>
    <t>Change Item</t>
  </si>
  <si>
    <t>A, D, M</t>
  </si>
  <si>
    <t>Change description</t>
  </si>
  <si>
    <t>Reference</t>
  </si>
  <si>
    <t>A</t>
  </si>
  <si>
    <t>ASM06 – Group01</t>
  </si>
  <si>
    <t>Student ID</t>
  </si>
  <si>
    <t>Group</t>
  </si>
  <si>
    <t>Group01</t>
  </si>
  <si>
    <t>Role</t>
  </si>
  <si>
    <t>Website</t>
  </si>
  <si>
    <t>https://opensource-demo.orangehrmlive.com/</t>
  </si>
  <si>
    <t>Automation tool</t>
  </si>
  <si>
    <t>Scope</t>
  </si>
  <si>
    <t>TEST CASE LIST</t>
  </si>
  <si>
    <t>Test Environment</t>
  </si>
  <si>
    <t>No.</t>
  </si>
  <si>
    <t>Function Name</t>
  </si>
  <si>
    <t>Sheet Name</t>
  </si>
  <si>
    <t>Description</t>
  </si>
  <si>
    <t>Pre-condition</t>
  </si>
  <si>
    <t>Req Level 1</t>
  </si>
  <si>
    <t>Req Level 2</t>
  </si>
  <si>
    <t>Req Level 3</t>
  </si>
  <si>
    <t>Test Criteria</t>
  </si>
  <si>
    <t>Test Type</t>
  </si>
  <si>
    <t>Note</t>
  </si>
  <si>
    <t>Phân vùng tương đương</t>
  </si>
  <si>
    <t>Phân tích giá trị biên</t>
  </si>
  <si>
    <t>Module Code</t>
  </si>
  <si>
    <t>Test requirement</t>
  </si>
  <si>
    <t>Tester</t>
  </si>
  <si>
    <t>Passed</t>
  </si>
  <si>
    <t>Failed</t>
  </si>
  <si>
    <t>Untested</t>
  </si>
  <si>
    <t>Blocked</t>
  </si>
  <si>
    <t>Skipped</t>
  </si>
  <si>
    <t>Number of Test cases</t>
  </si>
  <si>
    <t>ID</t>
  </si>
  <si>
    <t>Test Case Description</t>
  </si>
  <si>
    <t>Test Case Procedure</t>
  </si>
  <si>
    <t>Expected Output</t>
  </si>
  <si>
    <t>Inter-test case Dependence</t>
  </si>
  <si>
    <t>Result</t>
  </si>
  <si>
    <t>Test date</t>
  </si>
  <si>
    <t>Bỏ trống First Name</t>
  </si>
  <si>
    <t>Bỏ trống Last Name</t>
  </si>
  <si>
    <t>Data ID</t>
  </si>
  <si>
    <t>Giá trị / fixture</t>
  </si>
  <si>
    <t>Cách chuẩn bị</t>
  </si>
  <si>
    <t>Sử dụng</t>
  </si>
  <si>
    <t>Dọn dẹp / khôi phục</t>
  </si>
  <si>
    <t>Quy tắc</t>
  </si>
  <si>
    <t>Toàn bộ 75 TC</t>
  </si>
  <si>
    <t>ACCOUNT</t>
  </si>
  <si>
    <t>Nguồn chính thức</t>
  </si>
  <si>
    <t>URL</t>
  </si>
  <si>
    <t>Nội dung đối chiếu</t>
  </si>
  <si>
    <t>AUTOMATION PLAN</t>
  </si>
  <si>
    <t>Giai đoạn</t>
  </si>
  <si>
    <t>Công việc</t>
  </si>
  <si>
    <t>Assertion / bằng chứng</t>
  </si>
  <si>
    <t>Phạm vi / điều kiện</t>
  </si>
  <si>
    <t>Trạng thái</t>
  </si>
  <si>
    <t>TEST REPORT</t>
  </si>
  <si>
    <t>Run ID / Date</t>
  </si>
  <si>
    <t>Browser / Version</t>
  </si>
  <si>
    <t>Total</t>
  </si>
  <si>
    <t>Execution coverage</t>
  </si>
  <si>
    <t>Pass rate (executed only)</t>
  </si>
  <si>
    <t>Execution coverage = (Passed + Failed) / Total. Pass rate = Passed / (Passed + Failed). Blocked và Skipped không được tính là đã thực thi.</t>
  </si>
  <si>
    <t>Sau run, điền actual result, Defect ID (nếu có), ảnh/log và ngày thực chạy tại sheet test case. Các tổng hợp tự cập nhật từ cột Result.</t>
  </si>
  <si>
    <t>Nguyễn Văn Thắng</t>
  </si>
  <si>
    <t>Thành viên</t>
  </si>
  <si>
    <t>Recruitment test design</t>
  </si>
  <si>
    <t>75 case / 3 chức năng + Automation Plan</t>
  </si>
  <si>
    <t>Group01_23130299_NguyenVanThang</t>
  </si>
  <si>
    <t>OrangeHRM Recruitment</t>
  </si>
  <si>
    <t>RECR_VAC, RECR_CAND, RECR_FLOW</t>
  </si>
  <si>
    <t>Vacancies</t>
  </si>
  <si>
    <t>Candidates</t>
  </si>
  <si>
    <t>Candidate Workflow &amp; Interviews</t>
  </si>
  <si>
    <t>RECRUIT_VAC</t>
  </si>
  <si>
    <t>Tạo vacancy, validation số lượng, Active/Publish, bộ lọc, sửa và hủy.</t>
  </si>
  <si>
    <t>Tạo hồ sơ, email/contact, CV, bộ lọc, sửa và đối chiếu dữ liệu.</t>
  </si>
  <si>
    <t>Shortlist/Reject, Schedule Interview, interviewer, nút hành động, Candidate History.</t>
  </si>
  <si>
    <t>Admin/Recruitment; JOB_A, MANAGER_A/B đang hiệu lực; tên fixture riêng.</t>
  </si>
  <si>
    <t>VAC_A tồn tại, CV test chuẩn bị trước, email example.com.</t>
  </si>
  <si>
    <t>Mỗi nhánh có candidate riêng đúng trạng thái; interviewers còn hiệu lực.</t>
  </si>
  <si>
    <t>Tạo và bắt buộc</t>
  </si>
  <si>
    <t>Tạo tối thiểu/đầy đủ; kiểm tra Job Title, Vacancy Name, Hiring Manager; tên chỉ có whitespace và autocomplete.</t>
  </si>
  <si>
    <t>Phân vùng tương đương / Autocomplete</t>
  </si>
  <si>
    <t>Số vị trí tuyển</t>
  </si>
  <si>
    <t>Biên 0 và 1, số âm và dữ liệu không phải số; điều kiện cần xác nhận theo demo.</t>
  </si>
  <si>
    <t>Active / Publish</t>
  </si>
  <si>
    <t>Phối hợp hai checkbox và lưu trạng thái qua các lần sửa.</t>
  </si>
  <si>
    <t>Chuyển trạng thái</t>
  </si>
  <si>
    <t>Lọc / Reset danh sách</t>
  </si>
  <si>
    <t>Job Title, manager, name, AND 2 điều kiện, không có kết quả và Reset.</t>
  </si>
  <si>
    <t>Bảng quyết định / Phân vùng tương đương</t>
  </si>
  <si>
    <t>Sửa / hủy</t>
  </si>
  <si>
    <t>Thay mô tả, số lượng, manager; Cancel tạo/sửa; đảm bảo baseline không đổi.</t>
  </si>
  <si>
    <t>RECRUIT_CAND</t>
  </si>
  <si>
    <t>Tạo hồ sơ &amp; required</t>
  </si>
  <si>
    <t>Tên, email, vacancy, consent; 3 trường bắt buộc và dữ liệu tối thiểu/đầy đủ.</t>
  </si>
  <si>
    <t>Email / contact</t>
  </si>
  <si>
    <t>Email hợp lệ/invalid; contact có và không hợp lệ; giữ số 0 đầu.</t>
  </si>
  <si>
    <t>CV &amp; file upload</t>
  </si>
  <si>
    <t>PDF, DOCX, EXE, quá giới hạn và thao tác Cancel.</t>
  </si>
  <si>
    <t>Giá trị biên / Chuyển trạng thái</t>
  </si>
  <si>
    <t>Lọc ứng viên / Reset</t>
  </si>
  <si>
    <t>Vacancy, Candidate Name, Keywords, Date Range với AND, Reset.</t>
  </si>
  <si>
    <t>Sửa &amp; dữ liệu lưu</t>
  </si>
  <si>
    <t>Keywords/Notes, Cancel edit, đối chiếu hồ sơ sau reload.</t>
  </si>
  <si>
    <t>RECRUIT_FLOW</t>
  </si>
  <si>
    <t>Khởi tạo, shortlist, reject</t>
  </si>
  <si>
    <t>Application Initiated→Shortlisted/Rejected; Reject từ Shortlisted; hủy Shortlist.</t>
  </si>
  <si>
    <t>Lịch phỏng vấn / validation</t>
  </si>
  <si>
    <t>Schedule hợp lệ, Title/Interviewer/Date Required, ngày sai, giờ sai, Notes.</t>
  </si>
  <si>
    <t>Phân vùng tương đương / Biên</t>
  </si>
  <si>
    <t>Interviewer</t>
  </si>
  <si>
    <t>Autocomplete, nhiều interviewer, tên nhân viên không tồn tại.</t>
  </si>
  <si>
    <t>Bảng quyết định / Autocomplete</t>
  </si>
  <si>
    <t>Hành động theo trạng thái</t>
  </si>
  <si>
    <t>Schedule không ở Initiated, có sau Shortlist, đổi khi Scheduled, terminal Rejected, Cancel Reject.</t>
  </si>
  <si>
    <t>Detail / Candidate History</t>
  </si>
  <si>
    <t>Đối chiếu thông tin hồ sơ và chuỗi event khởi tạo/shortlist/reject/schedule.</t>
  </si>
  <si>
    <t>Nguyễn Văn Thắng – 23130299</t>
  </si>
  <si>
    <t>Tạo vacancy với các trường bắt buộc</t>
  </si>
  <si>
    <t>Lưu thành công; hiển thị đúng tên, Job Title, Hiring Manager, Positions=1.</t>
  </si>
  <si>
    <t>Không phụ thuộc test case khác; fixture được thiết lập trước case và khôi phục sau case.</t>
  </si>
  <si>
    <t>Tạo vacancy với đủ thông tin</t>
  </si>
  <si>
    <t>Tên, mô tả, số lượng, manager, Active và Publish giữ đúng giá trị đã lưu.</t>
  </si>
  <si>
    <t>Không chọn Job Title</t>
  </si>
  <si>
    <t>Job Title hiện Required; VAC_RUN03 không được tạo.</t>
  </si>
  <si>
    <t>Để trống Vacancy Name</t>
  </si>
  <si>
    <t>Vacancy Name hiện Required; không tạo vacancy.</t>
  </si>
  <si>
    <t>Không chọn Hiring Manager</t>
  </si>
  <si>
    <t>Hiring Manager hiện Required; không lưu.</t>
  </si>
  <si>
    <t>Tên vacancy chỉ có khoảng trắng</t>
  </si>
  <si>
    <t>Không tạo được vacancy chỉ có khoảng trắng; có lỗi bắt buộc/không hợp lệ.</t>
  </si>
  <si>
    <t>Hiring Manager từ autocomplete</t>
  </si>
  <si>
    <t>Lưu đúng nhân viên từ suggestion, không phải chuỗi tên tự do.</t>
  </si>
  <si>
    <t>Số vị trí tuyển bằng 1</t>
  </si>
  <si>
    <t>Chấp nhận giá trị 1; Positions=1 sau reload.</t>
  </si>
  <si>
    <t>Số vị trí tuyển bằng 0</t>
  </si>
  <si>
    <t>Không chấp nhận 0 nếu quy tắc số lượng phải dương; không tạo VAC_RUN09.</t>
  </si>
  <si>
    <t>Số vị trí tuyển âm</t>
  </si>
  <si>
    <t>Không lưu số âm; UI chặn hoặc hiển thị lỗi.</t>
  </si>
  <si>
    <t>Số vị trí tuyển không phải số</t>
  </si>
  <si>
    <t>Chỉ chấp nhận số; chuỗi 'abc' bị chặn hoặc báo Invalid; không lưu 'abc'.</t>
  </si>
  <si>
    <t>Lưu vacancy Active</t>
  </si>
  <si>
    <t>Active bật và Publish tắt sau reload.</t>
  </si>
  <si>
    <t>Lưu vacancy Inactive</t>
  </si>
  <si>
    <t>Active vẫn tắt sau reload.</t>
  </si>
  <si>
    <t>Lưu vacancy bật Publish</t>
  </si>
  <si>
    <t>Hai checkbox giữ trạng thái On; không suy diễn về cổng tuyển dụng ngoài demo.</t>
  </si>
  <si>
    <t>Đổi Active trên vacancy đã tồn tại</t>
  </si>
  <si>
    <t>Mỗi lần reload phản ánh trạng thái đã lưu; các trường khác không đổi.</t>
  </si>
  <si>
    <t>Tìm vacancy theo Job Title</t>
  </si>
  <si>
    <t>Tìm vacancy theo Hiring Manager</t>
  </si>
  <si>
    <t>VAC_FILTER_A xuất hiện; các dòng có manager phù hợp.</t>
  </si>
  <si>
    <t>Tìm vacancy theo Vacancy Name</t>
  </si>
  <si>
    <t>Có VAC_FILTER_A, không có VAC_FILTER_B.</t>
  </si>
  <si>
    <t>Lọc kết hợp Job Title và Manager</t>
  </si>
  <si>
    <t>Chỉ có vacancy thỏa đồng thời hai điều kiện.</t>
  </si>
  <si>
    <t>Lọc vacancy không tồn tại</t>
  </si>
  <si>
    <t>Không có kết quả hoặc hiển thị No Records Found; không hiện dữ liệu khác.</t>
  </si>
  <si>
    <t>Reset điều kiện lọc vacancy</t>
  </si>
  <si>
    <t>Bộ lọc về mặc định; danh sách trở về trạng thái không lọc.</t>
  </si>
  <si>
    <t>Sửa Description của vacancy</t>
  </si>
  <si>
    <t>Description mới được lưu chính xác; field còn lại giữ baseline.</t>
  </si>
  <si>
    <t>Sửa Positions và Hiring Manager</t>
  </si>
  <si>
    <t>Positions=4 và Hiring Manager=MANAGER_B sau tải lại.</t>
  </si>
  <si>
    <t>Hủy tạo vacancy</t>
  </si>
  <si>
    <t>Không tạo bản ghi VAC_CANCEL_RUN.</t>
  </si>
  <si>
    <t>Hủy sửa vacancy giữ dữ liệu cũ</t>
  </si>
  <si>
    <t>Name và trường khác vẫn đúng baseline; không xuất hiện tên tạm.</t>
  </si>
  <si>
    <t>Tạo ứng viên tối thiểu</t>
  </si>
  <si>
    <t>Tạo được ứng viên; tên, email và vacancy đúng input.</t>
  </si>
  <si>
    <t>TD_RECRUIT_CAND_01
Positive; Phân vùng tương đương
Automation: P1</t>
  </si>
  <si>
    <t>Tạo ứng viên với thông tin đầy đủ</t>
  </si>
  <si>
    <t>Lưu đúng tên đầy đủ, email, phone, vacancy, keyword và notes.</t>
  </si>
  <si>
    <t>Tiền điều kiện: Đã đăng nhập Admin/Recruitment; có VAC_A đang hiệu lực; email example.com và fixture hồ sơ riêng theo RUN_ID.
Input: First rỗng; Last=NguyenRUN03; Email=run03@example.com
1. Mở Add Candidate, nhập Last và Email; First để rỗng.
2. Save.
Kết thúc: khôi phục / dọn dẹp fixture theo Test Data; không dùng bản ghi của người khác.</t>
  </si>
  <si>
    <t>First Name báo Required; hồ sơ không được tạo.</t>
  </si>
  <si>
    <t>TD_RECRUIT_CAND_01
Negative; Phân vùng tương đương
Automation: P1</t>
  </si>
  <si>
    <t>Tiền điều kiện: Đã đăng nhập Admin/Recruitment; có VAC_A đang hiệu lực; email example.com và fixture hồ sơ riêng theo RUN_ID.
Input: First=An; Last rỗng; Email=run04@example.com
1. Mở Add Candidate, nhập First/Email; Last để rỗng.
2. Save.
Kết thúc: khôi phục / dọn dẹp fixture theo Test Data; không dùng bản ghi của người khác.</t>
  </si>
  <si>
    <t>Last Name báo Required; hồ sơ không được tạo.</t>
  </si>
  <si>
    <t>Bỏ trống Email</t>
  </si>
  <si>
    <t>Tiền điều kiện: Đã đăng nhập Admin/Recruitment; có VAC_A đang hiệu lực; email example.com và fixture hồ sơ riêng theo RUN_ID.
Input: First=An; Last=NguyenRUN05; Email rỗng
1. Mở Add Candidate, nhập First/Last, xóa Email.
2. Save.
Kết thúc: khôi phục / dọn dẹp fixture theo Test Data; không dùng bản ghi của người khác.</t>
  </si>
  <si>
    <t>Email báo Required; hồ sơ không được tạo.</t>
  </si>
  <si>
    <t>Không chọn Vacancy tùy chọn</t>
  </si>
  <si>
    <t>Kiểm tra consent khi tạo hồ sơ</t>
  </si>
  <si>
    <t>Email hợp lệ dạng example.com</t>
  </si>
  <si>
    <t>TD_RECRUIT_CAND_02
Positive; Phân vùng tương đương
Automation: P1</t>
  </si>
  <si>
    <t>Email thiếu ký tự @</t>
  </si>
  <si>
    <t>Tiền điều kiện: Đã đăng nhập Admin/Recruitment; có VAC_A đang hiệu lực; email example.com và fixture hồ sơ riêng theo RUN_ID.
Input: Email=quality.example.com
1. Add ứng viên với First/Last hợp lệ; nhập Email thiếu @.
2. Save.
Kết thúc: khôi phục / dọn dẹp fixture theo Test Data; không dùng bản ghi của người khác.</t>
  </si>
  <si>
    <t>Email báo invalid; không tạo hồ sơ.</t>
  </si>
  <si>
    <t>TD_RECRUIT_CAND_02
Negative; Phân vùng tương đương
Automation: P1</t>
  </si>
  <si>
    <t>Email thiếu phần domain</t>
  </si>
  <si>
    <t>Tiền điều kiện: Đã đăng nhập Admin/Recruitment; có VAC_A đang hiệu lực; email example.com và fixture hồ sơ riêng theo RUN_ID.
Input: Email=quality@
1. Add ứng viên với First/Last hợp lệ; nhập Email=quality@.
2. Save.
Kết thúc: khôi phục / dọn dẹp fixture theo Test Data; không dùng bản ghi của người khác.</t>
  </si>
  <si>
    <t>Số điện thoại dạng chữ</t>
  </si>
  <si>
    <t>Số điện thoại hợp lệ</t>
  </si>
  <si>
    <t>Tiền điều kiện: Đã đăng nhập Admin/Recruitment; có VAC_A đang hiệu lực; email example.com và fixture hồ sơ riêng theo RUN_ID.
Input: Phone=0900000012; Email=run12@example.com
1. Add hồ sơ với First/Last/Email; nhập Phone=0900000012.
2. Save, reload.
Kết thúc: khôi phục / dọn dẹp fixture theo Test Data; không dùng bản ghi của người khác.</t>
  </si>
  <si>
    <t>Contact Number giữ đúng '0900000012' và không mất số 0 đầu.</t>
  </si>
  <si>
    <t>Tải lên CV PDF hợp lệ</t>
  </si>
  <si>
    <t>Tiền điều kiện: Đã đăng nhập Admin/Recruitment; có VAC_A đang hiệu lực; email example.com và fixture hồ sơ riêng theo RUN_ID.
Input: resume_run.pdf; dung lượng &lt;CV_LIMIT
1. Chuẩn bị file PDF hợp lệ.
2. Add Candidate; nhập đủ trường và chọn CV.
3. Save rồi mở hồ sơ, đọc tên file.
Kết thúc: khôi phục / dọn dẹp fixture theo Test Data; không dùng bản ghi của người khác.</t>
  </si>
  <si>
    <t>CV được đính kèm đúng tên và có thể mở/tải theo quyền của demo.</t>
  </si>
  <si>
    <t>TD_RECRUIT_CAND_03
Positive; Phân vùng tương đương
Automation: P1</t>
  </si>
  <si>
    <t>Tải lên CV DOCX hợp lệ</t>
  </si>
  <si>
    <t>Tiền điều kiện: Đã đăng nhập Admin/Recruitment; có VAC_A đang hiệu lực; email example.com và fixture hồ sơ riêng theo RUN_ID.
Input: resume_run.docx; dung lượng &lt;CV_LIMIT
1. Chuẩn bị DOCX hợp lệ.
2. Add Candidate và upload file.
3. Save; mở chi tiết hồ sơ.
Kết thúc: khôi phục / dọn dẹp fixture theo Test Data; không dùng bản ghi của người khác.</t>
  </si>
  <si>
    <t>CV DOCX được đính kèm và hiển thị đúng tên.</t>
  </si>
  <si>
    <t>Tải CV định dạng không hợp lệ</t>
  </si>
  <si>
    <t>Tiền điều kiện: Đã đăng nhập Admin/Recruitment; có VAC_A đang hiệu lực; email example.com và fixture hồ sơ riêng theo RUN_ID.
Input: resume_run.exe; dung lượng nhỏ
1. Add Candidate với thông tin hợp lệ.
2. Chọn resume_run.exe; Save.
Kết thúc: khôi phục / dọn dẹp fixture theo Test Data; không dùng bản ghi của người khác.</t>
  </si>
  <si>
    <t>Hệ thống từ chối định dạng không hỗ trợ; không lưu tệp .exe.</t>
  </si>
  <si>
    <t>TD_RECRUIT_CAND_03
Negative; Phân vùng tương đương
Automation: P1</t>
  </si>
  <si>
    <t>Tải CV vượt dung lượng tối đa</t>
  </si>
  <si>
    <t>Hủy chọn CV trước lưu</t>
  </si>
  <si>
    <t>Tiền điều kiện: Đã đăng nhập Admin/Recruitment; có VAC_A đang hiệu lực; email example.com và fixture hồ sơ riêng theo RUN_ID.
Input: Chọn resume_run.pdf rồi hủy/tắt form, tạo hồ sơ mới không file
1. Mở Add, chọn CV hợp lệ nhưng chưa Save.
2. Cancel/đóng form.
3. Mở Add lại, tạo ứng viên khác không file.
Kết thúc: khôi phục / dọn dẹp fixture theo Test Data; không dùng bản ghi của người khác.</t>
  </si>
  <si>
    <t>Không có CV của lần thao tác hủy trong hồ sơ mới; không phát sinh ứng viên lần đầu.</t>
  </si>
  <si>
    <t>TD_RECRUIT_CAND_03
Positive; Chuyển trạng thái
Automation: P1</t>
  </si>
  <si>
    <t>Lọc ứng viên theo Vacancy</t>
  </si>
  <si>
    <t>Tiền điều kiện: Đã đăng nhập Admin/Recruitment; có VAC_A đang hiệu lực; email example.com và fixture hồ sơ riêng theo RUN_ID.
Input: VAC_A; CAND_FILTER_A thuộc VAC_A
1. Vào Recruitment &gt; Candidates.
2. Chọn Vacancy=VAC_A; Search.
3. Đối chiếu các dòng.
Kết thúc: khôi phục / dọn dẹp fixture theo Test Data; không dùng bản ghi của người khác.</t>
  </si>
  <si>
    <t>CAND_FILTER_A xuất hiện; kết quả thuộc VAC_A.</t>
  </si>
  <si>
    <t>TD_RECRUIT_CAND_04
Positive; Phân vùng tương đương
Automation: P1</t>
  </si>
  <si>
    <t>Lọc theo Candidate Name</t>
  </si>
  <si>
    <t>Tiền điều kiện: Đã đăng nhập Admin/Recruitment; có VAC_A đang hiệu lực; email example.com và fixture hồ sơ riêng theo RUN_ID.
Input: Tên chính xác CAND_FILTER_A
1. Mở Candidates; gõ tên, chọn đúng suggestion nếu được yêu cầu.
2. Search.
Kết thúc: khôi phục / dọn dẹp fixture theo Test Data; không dùng bản ghi của người khác.</t>
  </si>
  <si>
    <t>Hiện CAND_FILTER_A, không lẫn CAND_FILTER_B khác tên.</t>
  </si>
  <si>
    <t>Lọc ứng viên theo Keywords</t>
  </si>
  <si>
    <t>Tiền điều kiện: Đã đăng nhập Admin/Recruitment; có VAC_A đang hiệu lực; email example.com và fixture hồ sơ riêng theo RUN_ID.
Input: Keyword='run_keyword_a' trên CAND_FILTER_A
1. Mở Candidates; nhập Keywords=run_keyword_a; Search.
Kết thúc: khôi phục / dọn dẹp fixture theo Test Data; không dùng bản ghi của người khác.</t>
  </si>
  <si>
    <t>Hiện ứng viên có keyword phù hợp, gồm CAND_FILTER_A.</t>
  </si>
  <si>
    <t>Lọc kết hợp Vacancy và ngày ứng tuyển</t>
  </si>
  <si>
    <t>Tiền điều kiện: Đã đăng nhập Admin/Recruitment; có VAC_A đang hiệu lực; email example.com và fixture hồ sơ riêng theo RUN_ID.
Input: VAC_A; From=RUN_DATE−1 ngày; To=RUN_DATE+1 ngày (ngày tạo fixture thực tế)
1. Ghi nhận ngày ứng tuyển thật của CAND_FILTER_A.
2. Chọn Vacancy=VAC_A và khoảng ngày bao phủ đúng ngày đó.
3. Search; đối chiếu kết quả ngày và vacancy.
Kết thúc: khôi phục / dọn dẹp fixture theo Test Data.</t>
  </si>
  <si>
    <t>Chỉ xuất hiện ứng viên thỏa vacancy và ngày trong khoảng đã nhập.</t>
  </si>
  <si>
    <t>TD_RECRUIT_CAND_04
Positive; Bảng quyết định
Automation: P1</t>
  </si>
  <si>
    <t>Reset bộ lọc Candidates</t>
  </si>
  <si>
    <t>Tiền điều kiện: Đã đăng nhập Admin/Recruitment; có VAC_A đang hiệu lực; email example.com và fixture hồ sơ riêng theo RUN_ID.
Input: Vacancy=VAC_A; Keywords=run_keyword_a
1. Áp dụng hai điều kiện; Search.
2. Nhấn Reset.
3. Kiểm tra input và kết quả.
Kết thúc: khôi phục / dọn dẹp fixture theo Test Data; không dùng bản ghi của người khác.</t>
  </si>
  <si>
    <t>Hai filter về mặc định; danh sách trở lại trạng thái không lọc.</t>
  </si>
  <si>
    <t>TD_RECRUIT_CAND_04
Positive; Chuyển trạng thái
Automation: P1</t>
  </si>
  <si>
    <t>Sửa Keywords và Notes hồ sơ</t>
  </si>
  <si>
    <t>Keywords và Notes đúng giá trị mới; email và vacancy không đổi.</t>
  </si>
  <si>
    <t>TD_RECRUIT_CAND_05
Positive; Phân vùng tương đương
Automation: P1</t>
  </si>
  <si>
    <t>Hủy chỉnh sửa hồ sơ ứng viên</t>
  </si>
  <si>
    <t>TD_RECRUIT_CAND_05
Positive; Chuyển trạng thái
Automation: P1</t>
  </si>
  <si>
    <t>Đối chiếu dữ liệu hồ sơ sau tải lại</t>
  </si>
  <si>
    <t>Tiền điều kiện: Đã đăng nhập Admin/Recruitment; có VAC_A đang hiệu lực; email example.com và fixture hồ sơ riêng theo RUN_ID.
Input: CAND_EDIT; First, Last, Email, Contact, Vacancy theo baseline
1. Mở CAND_EDIT; ghi 5 trường baseline.
2. Tải lại; đối chiếu từng trường và danh sách.
Kết thúc: khôi phục / dọn dẹp fixture theo Test Data; không dùng bản ghi của người khác.</t>
  </si>
  <si>
    <t>Chi tiết và dòng danh sách nhất quán; không mất dữ liệu khi reload.</t>
  </si>
  <si>
    <t>Kiểm tra trạng thái ứng viên mới</t>
  </si>
  <si>
    <t>Tiền điều kiện: Đã đăng nhập Admin/Recruitment; VAC_A và INTERVIEWER_A/B hiệu lực; ứng viên độc lập đúng trạng thái đầu vào.
Input: F_NEW_01; Vacancy=VAC_A; vừa tạo chưa thao tác
1. Tạo F_NEW_01 từ giao diện Candidates.
2. Mở chi tiết và Candidate History.
Kết thúc: khôi phục / dọn dẹp fixture theo Test Data; không dùng bản ghi của người khác.</t>
  </si>
  <si>
    <t>Trạng thái đầu vào là Application Initiated hoặc nhãn khởi tạo tương đương; chưa có sự kiện Shortlist/Reject.</t>
  </si>
  <si>
    <t>Không phụ thuộc test khác; fixture đúng trạng thái được tạo trong setup.
Riêng flow, không dùng candidate đã Rejected cho nhánh Shortlisted.</t>
  </si>
  <si>
    <t>TD_RECRUIT_FLOW_01
Positive; Phân vùng tương đương
Automation: P1</t>
  </si>
  <si>
    <t>Shortlist ứng viên mới</t>
  </si>
  <si>
    <t>Tiền điều kiện: Đã đăng nhập Admin/Recruitment; VAC_A và INTERVIEWER_A/B hiệu lực; ứng viên độc lập đúng trạng thái đầu vào.
Input: F_NEW_02 có status Application Initiated; Notes='Shortlist RUN'
1. Mở F_NEW_02.
2. Nhấn Shortlist; nhập Notes nếu có; xác nhận Save/Shortlist.
3. Reload.
Kết thúc: khôi phục / dọn dẹp fixture theo Test Data; không dùng bản ghi của người khác.</t>
  </si>
  <si>
    <t>Status chuyển Shortlisted; History ghi sự kiện shortlist đúng ứng viên.</t>
  </si>
  <si>
    <t>TD_RECRUIT_FLOW_01
Positive; Chuyển trạng thái
Automation: P1</t>
  </si>
  <si>
    <t>Reject ứng viên từ trạng thái ban đầu</t>
  </si>
  <si>
    <t>Status chuyển Rejected; Candidate History có sự kiện reject.</t>
  </si>
  <si>
    <t>Reject ứng viên đã Shortlisted</t>
  </si>
  <si>
    <t>Tiền điều kiện: Đã đăng nhập Admin/Recruitment; VAC_A và INTERVIEWER_A/B hiệu lực; ứng viên độc lập đúng trạng thái đầu vào.
Input: F_SHORT_04 đang Shortlisted; Notes='Reject shortlisted RUN'
1. Mở F_SHORT_04.
2. Nhấn Reject; xác nhận.
3. Reload và xem History.
Kết thúc: khôi phục / dọn dẹp fixture theo Test Data; không dùng bản ghi của người khác.</t>
  </si>
  <si>
    <t>Trạng thái Rejected; lịch sử còn sự kiện shortlist cũ và thêm reject.</t>
  </si>
  <si>
    <t>Status vẫn Application Initiated; History không có sự kiện Shortlist mới.</t>
  </si>
  <si>
    <t>Đặt lịch phỏng vấn với dữ liệu đầy đủ</t>
  </si>
  <si>
    <t>Tiền điều kiện: Đã đăng nhập Admin/Recruitment; VAC_A và INTERVIEWER_A/B hiệu lực; ứng viên độc lập đúng trạng thái đầu vào.
Input: F_SHORT_06; Title='Interview RUN06'; Interviewer=INT_A; Date=2026-11-10; Time=10:30; Notes='First round'
1. Mở F_SHORT_06 Shortlisted; nhấn Schedule Interview.
2. Điền các trường chính xác và chọn INT_A từ gợi ý.
3. Save; reload Candidate Details.
Kết thúc: khôi phục / dọn dẹp fixture theo Test Data; không dùng bản ghi của người khác.</t>
  </si>
  <si>
    <t>Chuyển sang Interview Scheduled; tiêu đề, người phỏng vấn, ngày 2026-11-10, giờ 10:30 và ghi chú đã lưu.</t>
  </si>
  <si>
    <t>TD_RECRUIT_FLOW_02
Positive; Chuyển trạng thái
Automation: P1</t>
  </si>
  <si>
    <t>Bỏ trống Interview Title</t>
  </si>
  <si>
    <t>Tiền điều kiện: Đã đăng nhập Admin/Recruitment; VAC_A và INTERVIEWER_A/B hiệu lực; ứng viên độc lập đúng trạng thái đầu vào.
Input: F_SHORT_07; Title rỗng; INT_A; Date=2026-11-10
1. Mở Schedule Interview của F_SHORT_07.
2. Để Title rỗng; điền các trường còn lại; Save.
Kết thúc: khôi phục / dọn dẹp fixture theo Test Data; không dùng bản ghi của người khác.</t>
  </si>
  <si>
    <t>Interview Title hiển thị Required; chưa có lịch mới.</t>
  </si>
  <si>
    <t>TD_RECRUIT_FLOW_02
Negative; Phân vùng tương đương
Automation: P1</t>
  </si>
  <si>
    <t>Bỏ trống Interviewer</t>
  </si>
  <si>
    <t>Tiền điều kiện: Đã đăng nhập Admin/Recruitment; VAC_A và INTERVIEWER_A/B hiệu lực; ứng viên độc lập đúng trạng thái đầu vào.
Input: F_SHORT_08; Title='Interview RUN08'; Interviewer rỗng; Date=2026-11-10
1. Mở Schedule Interview; điền Title và Date.
2. Không chọn Interviewer; Save.
Kết thúc: khôi phục / dọn dẹp fixture theo Test Data; không dùng bản ghi của người khác.</t>
  </si>
  <si>
    <t>Interviewer hiển thị Required; không tạo lịch.</t>
  </si>
  <si>
    <t>Bỏ trống ngày phỏng vấn</t>
  </si>
  <si>
    <t>Tiền điều kiện: Đã đăng nhập Admin/Recruitment; VAC_A và INTERVIEWER_A/B hiệu lực; ứng viên độc lập đúng trạng thái đầu vào.
Input: F_SHORT_09; Title='Interview RUN09'; INT_A; Date rỗng
1. Mở Schedule Interview; điền Title và Interviewer.
2. Xóa Date, Save.
Kết thúc: khôi phục / dọn dẹp fixture theo Test Data; không dùng bản ghi của người khác.</t>
  </si>
  <si>
    <t>Date hiển thị Required; không lưu lịch.</t>
  </si>
  <si>
    <t>Ngày phỏng vấn không tồn tại</t>
  </si>
  <si>
    <t>Tiền điều kiện: Đã đăng nhập Admin/Recruitment; VAC_A và INTERVIEWER_A/B hiệu lực; ứng viên độc lập đúng trạng thái đầu vào.
Input: F_SHORT_10; Date=31/02/2027; Title hợp lệ; INT_A
1. Mở Schedule Interview.
2. Nhập ngày 31/02/2027 theo định dạng UI (nếu datepicker chặn, ghi nhận).
3. Save.
Kết thúc: khôi phục / dọn dẹp fixture theo Test Data; không dùng bản ghi của người khác.</t>
  </si>
  <si>
    <t>Ngày không hợp lệ bị chặn hoặc báo lỗi; không tạo lịch với ngày này.</t>
  </si>
  <si>
    <t>TD_RECRUIT_FLOW_02
Negative; Phân vùng tương đương / Giá trị biên
Automation: P1</t>
  </si>
  <si>
    <t>Thời gian sai định dạng</t>
  </si>
  <si>
    <t>Tiền điều kiện: Đã đăng nhập Admin/Recruitment; VAC_A và INTERVIEWER_A/B hiệu lực; ứng viên độc lập đúng trạng thái đầu vào.
Input: F_SHORT_11; Time=25:99; Title hợp lệ; INT_A; Date hợp lệ
1. Mở Schedule Interview.
2. Nhập/paste giờ 25:99 vào Time; Save.
Kết thúc: khôi phục / dọn dẹp fixture theo Test Data; không dùng bản ghi của người khác.</t>
  </si>
  <si>
    <t>Không nhận thời gian ngoài miền hợp lệ; chặn nhập hoặc báo lỗi.</t>
  </si>
  <si>
    <t>TD_RECRUIT_FLOW_02
Negative; Phân vùng tương đương / Giá trị biên
Automation: P1
Cần kiểm tra UI: Kiểm tra giao diện Time có cho nhập tự do hay chỉ chọn giờ.</t>
  </si>
  <si>
    <t>Lưu ghi chú phỏng vấn</t>
  </si>
  <si>
    <t>Tiền điều kiện: Đã đăng nhập Admin/Recruitment; VAC_A và INTERVIEWER_A/B hiệu lực; ứng viên độc lập đúng trạng thái đầu vào.
Input: F_SHORT_12; Title='Interview RUN12'; INT_A; Date=2026-11-12; Time=14:00; Notes='Đánh giá kỹ năng QA'
1. Mở Schedule Interview, nhập dữ liệu đầy đủ.
2. Nhập Notes có dấu; Save.
3. Mở chi tiết/history của lịch.
Kết thúc: khôi phục / dọn dẹp fixture theo Test Data; không dùng bản ghi của người khác.</t>
  </si>
  <si>
    <t>Ghi chú hiển thị chính xác, không lỗi dấu; lịch được tạo đúng candidate.</t>
  </si>
  <si>
    <t>TD_RECRUIT_FLOW_02
Positive; Phân vùng tương đương
Automation: P1</t>
  </si>
  <si>
    <t>Chọn interviewer qua autocomplete</t>
  </si>
  <si>
    <t>Tiền điều kiện: Đã đăng nhập Admin/Recruitment; VAC_A và INTERVIEWER_A/B hiệu lực; ứng viên độc lập đúng trạng thái đầu vào.
Input: F_SHORT_13; INT_A nhân viên còn hiệu lực
1. Mở Schedule Interview.
2. Gõ tiền tố tên INT_A; chọn đúng suggestion.
3. Điền Title/Date, Save; mở lại.
Kết thúc: khôi phục / dọn dẹp fixture theo Test Data; không dùng bản ghi của người khác.</t>
  </si>
  <si>
    <t>Interviewer là INT_A, không lưu tên gõ tự do.</t>
  </si>
  <si>
    <t>TD_RECRUIT_FLOW_03
Positive; Phân vùng tương đương / Autocomplete
Automation: P1</t>
  </si>
  <si>
    <t>Chọn nhiều interviewer</t>
  </si>
  <si>
    <t>Lưu đúng cả hai interviewer, không trùng; hiển thị đúng trên chi tiết.</t>
  </si>
  <si>
    <t>Không chọn interviewer đã xóa</t>
  </si>
  <si>
    <t>Tiền điều kiện: Đã đăng nhập Admin/Recruitment; VAC_A và INTERVIEWER_A/B hiệu lực; ứng viên độc lập đúng trạng thái đầu vào.
Input: F_SHORT_15; gõ tên 'DELETED_INTERVIEWER_RUN' không tồn tại
1. Mở Schedule Interview.
2. Gõ tên không tồn tại vào Interviewer, không chọn suggestion.
3. Điền Title/Date, Save.
Kết thúc: khôi phục / dọn dẹp fixture theo Test Data; không dùng bản ghi của người khác.</t>
  </si>
  <si>
    <t>Không chấp nhận một chuỗi không khớp nhân viên còn hiệu lực; báo Required/Invalid.</t>
  </si>
  <si>
    <t>TD_RECRUIT_FLOW_03
Negative; Phân vùng tương đương / Autocomplete
Automation: P1</t>
  </si>
  <si>
    <t>Schedule Interview không có ở trạng thái mới</t>
  </si>
  <si>
    <t>Tiền điều kiện: Đã đăng nhập Admin/Recruitment; VAC_A và INTERVIEWER_A/B hiệu lực; ứng viên độc lập đúng trạng thái đầu vào.
Input: F_NEW_16 Application Initiated
1. Mở chi tiết F_NEW_16 chưa Shortlist.
2. Kiểm tra nút hành động và menu.
Kết thúc: khôi phục / dọn dẹp fixture theo Test Data; không dùng bản ghi của người khác.</t>
  </si>
  <si>
    <t>Không có thao tác Schedule Interview hợp lệ từ trạng thái đầu vào; phải Shortlist trước.</t>
  </si>
  <si>
    <t>TD_RECRUIT_FLOW_04
Positive; Chuyển trạng thái
Automation: P1</t>
  </si>
  <si>
    <t>Schedule Interview xuất hiện sau Shortlist</t>
  </si>
  <si>
    <t>Tiền điều kiện: Đã đăng nhập Admin/Recruitment; VAC_A và INTERVIEWER_A/B hiệu lực; ứng viên độc lập đúng trạng thái đầu vào.
Input: F_SHORT_17 Shortlisted
1. Mở F_SHORT_17.
2. Quan sát menu hành động.
3. Nhấn Schedule Interview và kiểm tra form.
Kết thúc: khôi phục / dọn dẹp fixture theo Test Data; không dùng bản ghi của người khác.</t>
  </si>
  <si>
    <t>Nút Schedule Interview khả dụng; mở được form lịch của đúng candidate.</t>
  </si>
  <si>
    <t>Trạng thái sau khi đặt lịch</t>
  </si>
  <si>
    <t>Tiền điều kiện: Đã đăng nhập Admin/Recruitment; VAC_A và INTERVIEWER_A/B hiệu lực; ứng viên độc lập đúng trạng thái đầu vào.
Input: F_SHORT_18; Title='Interview RUN18'; INT_A; Date hợp lệ
1. Mở F_SHORT_18; Schedule Interview đầy đủ.
2. Save; trở lại chi tiết, kiểm tra trạng thái.
Kết thúc: khôi phục / dọn dẹp fixture theo Test Data; không dùng bản ghi của người khác.</t>
  </si>
  <si>
    <t>Status là Interview Scheduled; không còn status Shortlisted.</t>
  </si>
  <si>
    <t>Không tái Shortlist sau khi Reject</t>
  </si>
  <si>
    <t>Tiền điều kiện: Đã đăng nhập Admin/Recruitment; VAC_A và INTERVIEWER_A/B hiệu lực; ứng viên độc lập đúng trạng thái đầu vào.
Input: F_REJECT_19 có trạng thái Rejected
1. Mở F_REJECT_19, quan sát tất cả nút.
2. Thử truy cập lại menu nếu có.
Kết thúc: khôi phục / dọn dẹp fixture theo Test Data; không dùng bản ghi của người khác.</t>
  </si>
  <si>
    <t>Không hiển thị thao tác Shortlist trái quy tắc trạng thái; status vẫn Rejected.</t>
  </si>
  <si>
    <t>Hủy Reject không đổi trạng thái</t>
  </si>
  <si>
    <t>Vẫn Shortlisted; không thêm bản ghi Reject vào History.</t>
  </si>
  <si>
    <t>Candidate Details chứa đúng bản ghi</t>
  </si>
  <si>
    <t>Tên, email, vacancy và trạng thái đúng một ứng viên; không hiển thị fixture khác.</t>
  </si>
  <si>
    <t>TD_RECRUIT_FLOW_05
Positive; Phân vùng tương đương
Automation: P1</t>
  </si>
  <si>
    <t>History sau khi tạo ứng viên</t>
  </si>
  <si>
    <t>Tiền điều kiện: Đã đăng nhập Admin/Recruitment; VAC_A và INTERVIEWER_A/B hiệu lực; ứng viên độc lập đúng trạng thái đầu vào.
Input: F_NEW_22 mới được tạo
1. Mở F_NEW_22.
2. Cuộn đến Candidate History, đọc các dòng.
Kết thúc: khôi phục / dọn dẹp fixture theo Test Data; không dùng bản ghi của người khác.</t>
  </si>
  <si>
    <t>Có dữ liệu sự kiện khởi tạo/đính vacancy theo cơ chế bản demo; không có event interview/reject.</t>
  </si>
  <si>
    <t>History sau Shortlist</t>
  </si>
  <si>
    <t>Tiền điều kiện: Đã đăng nhập Admin/Recruitment; VAC_A và INTERVIEWER_A/B hiệu lực; ứng viên độc lập đúng trạng thái đầu vào.
Input: F_SHORT_23 đã chuyển từ Initiated bằng setup
1. Mở F_SHORT_23, xem Candidate History.
2. Mở View/chi tiết event nếu có.
Kết thúc: khôi phục / dọn dẹp fixture theo Test Data; không dùng bản ghi của người khác.</t>
  </si>
  <si>
    <t>Có event Shortlist gắn với đúng ứng viên và trình tự sau khi tạo.</t>
  </si>
  <si>
    <t>History sau Reject</t>
  </si>
  <si>
    <t>Tiền điều kiện: Đã đăng nhập Admin/Recruitment; VAC_A và INTERVIEWER_A/B hiệu lực; ứng viên độc lập đúng trạng thái đầu vào.
Input: F_REJECT_24 được reject từ Initiated
1. Mở F_REJECT_24, xem History.
2. Đối chiếu description, trạng thái và ghi chú.
Kết thúc: khôi phục / dọn dẹp fixture theo Test Data; không dùng bản ghi của người khác.</t>
  </si>
  <si>
    <t>Có event Reject của đúng ứng viên; trạng thái Rejected phù hợp event.</t>
  </si>
  <si>
    <t>History sau Schedule Interview</t>
  </si>
  <si>
    <t>Tiền điều kiện: Đã đăng nhập Admin/Recruitment; VAC_A và INTERVIEWER_A/B hiệu lực; ứng viên độc lập đúng trạng thái đầu vào.
Input: F_SCHED_25 đã được đặt lịch Title='Interview RUN25'
1. Mở F_SCHED_25 và Candidate History.
2. Mở event phỏng vấn; đối chiếu Title/INT_A/Date.
Kết thúc: khôi phục / dọn dẹp fixture theo Test Data; không dùng bản ghi của người khác.</t>
  </si>
  <si>
    <t>Có event Interview Scheduled; chi tiết trùng dữ liệu lịch đã lưu và đúng candidate.</t>
  </si>
  <si>
    <t>RECRUITMENT TEST DATA</t>
  </si>
  <si>
    <t>RUN_ID</t>
  </si>
  <si>
    <t>Chỉ xóa fixture với RUN_ID của nhóm mình.</t>
  </si>
  <si>
    <t>Admin / quyền Recruitment</t>
  </si>
  <si>
    <t>Đăng nhập bằng tài khoản demo hợp lệ được cung cấp trên trang; không hardcode password trong repo.</t>
  </si>
  <si>
    <t>Setup tất cả TC</t>
  </si>
  <si>
    <t>Đăng xuất cuối suite. Không sửa mật khẩu hoặc role của người khác.</t>
  </si>
  <si>
    <t>Login không tính là chức năng test riêng.</t>
  </si>
  <si>
    <t>VAC_A</t>
  </si>
  <si>
    <t>VAC_[RUN_ID]_BASE</t>
  </si>
  <si>
    <t>Tạo vacancy Active có JOB_A, MANAGER_A, Positions=3; chụp ID và trạng thái.</t>
  </si>
  <si>
    <t>Candidates + Flow</t>
  </si>
  <si>
    <t>Chỉ xóa sau khi đã dọn candidate liên quan.</t>
  </si>
  <si>
    <t>Vacancy phải chọn được trên Add Candidate.</t>
  </si>
  <si>
    <t>VAC_EDIT</t>
  </si>
  <si>
    <t>VAC_[RUN_ID]_EDIT</t>
  </si>
  <si>
    <t>Tạo bản ghi Active; lưu snapshot Name/Description/Positions/Manager trước khi test.</t>
  </si>
  <si>
    <t>Restore sau mỗi TC, riêng nhánh thử Active cần reset.</t>
  </si>
  <si>
    <t>Không dùng bản ghi của người khác.</t>
  </si>
  <si>
    <t>VAC_FILTER_A</t>
  </si>
  <si>
    <t>VAC_[RUN_ID]_FILTER_A</t>
  </si>
  <si>
    <t>Tạo Job Title=JOB_A, Manager=MANAGER_A.</t>
  </si>
  <si>
    <t>Xóa sau khi ghi evidence.</t>
  </si>
  <si>
    <t>Positive control.</t>
  </si>
  <si>
    <t>VAC_FILTER_B</t>
  </si>
  <si>
    <t>VAC_[RUN_ID]_FILTER_B</t>
  </si>
  <si>
    <t>Tạo Job Title khác hoặc Manager khác, Name khác A.</t>
  </si>
  <si>
    <t>Negative control.</t>
  </si>
  <si>
    <t>CAND_EDIT</t>
  </si>
  <si>
    <t>cand_edit_[RUN_ID]@example.com</t>
  </si>
  <si>
    <t>Tạo ứng viên có Vacancy=VAC_A; lưu snapshot name, contact, keyword và note.</t>
  </si>
  <si>
    <t>Khôi phục tất cả field sau từng TC.</t>
  </si>
  <si>
    <t>Email giả trên example.com.</t>
  </si>
  <si>
    <t>CAND_FILTER_A / B</t>
  </si>
  <si>
    <t>cand_filter_a_[RUN_ID]@example.com; cand_filter_b_[RUN_ID]@example.com</t>
  </si>
  <si>
    <t>A gán VAC_A + run_keyword_a; B khác vacancy hoặc keyword; kiểm tra ngày tạo.</t>
  </si>
  <si>
    <t>Dọn dữ liệu của hai fixture sau run.</t>
  </si>
  <si>
    <t>Chọn ngày filter dựa trên ngày thực sự lưu.</t>
  </si>
  <si>
    <t>F_NEW_x</t>
  </si>
  <si>
    <t>Ứng viên Application Initiated</t>
  </si>
  <si>
    <t>Tạo candidate mới với email flow_new_x_[RUN_ID]@example.com cho từng nhánh.</t>
  </si>
  <si>
    <t>Không tái dùng F_NEW đã bị Shortlisted/Rejected.</t>
  </si>
  <si>
    <t>Mỗi test là candidate riêng.</t>
  </si>
  <si>
    <t>F_SHORT_x</t>
  </si>
  <si>
    <t>Ứng viên Shortlisted</t>
  </si>
  <si>
    <t>Tạo mới theo RUN_ID; thực hiện Shortlist trong setup và assert status trước case.</t>
  </si>
  <si>
    <t>Không dùng sau Reject hay Schedule nếu case cần Shortlisted.</t>
  </si>
  <si>
    <t>Không phụ thuộc TC khác.</t>
  </si>
  <si>
    <t>F_REJECT_x</t>
  </si>
  <si>
    <t>Ứng viên Rejected</t>
  </si>
  <si>
    <t>Tạo mới riêng; Reject trong setup, assert Rejected.</t>
  </si>
  <si>
    <t>Không dùng để test Shortlist.</t>
  </si>
  <si>
    <t>Trạng thái terminal cần xác nhận.</t>
  </si>
  <si>
    <t>F_SCHED_x</t>
  </si>
  <si>
    <t>Ứng viên đã Schedule Interview</t>
  </si>
  <si>
    <t>Tạo mới; Shortlist→Schedule; lưu Title/Date/Interviewer thực tế.</t>
  </si>
  <si>
    <t>Không làm lại lịch trừ khi có kế hoạch rollback.</t>
  </si>
  <si>
    <t>Đối chiếu History với input.</t>
  </si>
  <si>
    <t>INT_A / INT_B</t>
  </si>
  <si>
    <t>Hai interviewer đang hoạt động</t>
  </si>
  <si>
    <t>Chọn bằng autocomplete, xác nhận hai employee khác nhau và không Deleted.</t>
  </si>
  <si>
    <t>Không sửa danh mục Employee của hệ thống.</t>
  </si>
  <si>
    <t>Multi-select cần xác nhận UI.</t>
  </si>
  <si>
    <t>CV_LIMIT</t>
  </si>
  <si>
    <t>Đọc hướng dẫn cạnh Select Resume; ghi nguyên văn MB/KiB, quy đổi sang byte trước khi tạo tệp.</t>
  </si>
  <si>
    <t>Xóa file cục bộ tạm sau run.</t>
  </si>
  <si>
    <t>Không tự suy luận 5 MB từ phiên bản thương mại.</t>
  </si>
  <si>
    <t>CV_FILES</t>
  </si>
  <si>
    <t>resume_run.pdf, resume_run.docx, resume_run.exe, resume_oversize.pdf</t>
  </si>
  <si>
    <t>Sinh file CV giả không chứa dữ liệu cá nhân; kiểm tra MIME, size, tên.</t>
  </si>
  <si>
    <t>Không upload CV thật.</t>
  </si>
  <si>
    <t>Không tải file .exe xuống máy từ nguồn lạ.</t>
  </si>
  <si>
    <t>DATE_WINDOW</t>
  </si>
  <si>
    <t>2026-11-10 / 2026-11-12; filter theo ngày thực tế</t>
  </si>
  <si>
    <t>Interview dùng ngày hợp lệ trong tương lai tại lúc chạy; filter From/To bám theo fixture.</t>
  </si>
  <si>
    <t>Không để ngày động gây false failure.</t>
  </si>
  <si>
    <t>Định dạng nhập theo UI, không áp đặt dd/MM/yyyy.</t>
  </si>
  <si>
    <t>EXEC_LOG</t>
  </si>
  <si>
    <t>Evidence: screenshot/log + defect ID</t>
  </si>
  <si>
    <t>Lưu timestamp, browser/version, testcase ID; chụp trước/sau cho Failed.</t>
  </si>
  <si>
    <t>Toàn bộ suite</t>
  </si>
  <si>
    <t>Dữ liệu evidence không chứa PII.</t>
  </si>
  <si>
    <t>Không đánh dấu Passed trước khi có kiểm chứng.</t>
  </si>
  <si>
    <t>Website Demo</t>
  </si>
  <si>
    <t>RECRUIT_VAC — Vacancies</t>
  </si>
  <si>
    <t>https://help.orangehrm.com/hc/en-us/articles/18264958234649-How-to-Create-a-New-Vacancy-in-OrangeHRM</t>
  </si>
  <si>
    <t>RECRUIT_CAND — Candidates</t>
  </si>
  <si>
    <t>https://help.orangehrm.com/hc/en-us/articles/10457315002777-How-To-Add-Candidates-To-Created-Vacancies</t>
  </si>
  <si>
    <t>RECRUIT_CAND / FLOW — Profile &amp; History</t>
  </si>
  <si>
    <t>https://help.orangehrm.com/hc/en-us/articles/10876907600153-How-to-View-and-Manage-a-Candidate-Profile</t>
  </si>
  <si>
    <t>RECRUIT_FLOW — Shortlist / Reject</t>
  </si>
  <si>
    <t>https://help.orangehrm.com/hc/en-us/articles/35482924971673-Usability-Improvements-in-Recruitment-Module</t>
  </si>
  <si>
    <t>https://www.orangehrm.com/assets/Files/Advanced-Recruitment-User-Guide.pdf</t>
  </si>
  <si>
    <t>Môi trường kiểm thử trực tiếp</t>
  </si>
  <si>
    <t>Tạo vacancy, Job Title, Hiring Manager, mô tả, cấu hình/publish, bộ lọc danh sách</t>
  </si>
  <si>
    <t>Tạo candidate, tên/email, liên kết vacancy, tải CV và lọc danh sách</t>
  </si>
  <si>
    <t>Xem/sửa hồ sơ, resume, notes, thay đổi giai đoạn và Candidate History/Audit Logs</t>
  </si>
  <si>
    <t>Các hành động Shortlist/Reject và thay đổi giai đoạn candidate</t>
  </si>
  <si>
    <t>RECRUIT_FLOW — Schedule Interview</t>
  </si>
  <si>
    <t xml:space="preserve"> Shortlist, Reject, Schedule Interview và history</t>
  </si>
  <si>
    <t>VAC_FILTER_A xuất hiện; toàn bộ kết quả thuộc QA Engineer.</t>
  </si>
  <si>
    <t>Tiền điều kiện: Đã đăng nhập Admin/Recruitment; có QA Engineer, NVThangA101 hợp lệ; dữ liệu khác biệt theo RUN_ID.
Input: Name=VAC_RUN01; Job Title=QA Engineer; Hiring Manager=NVThangA101; Positions=1
1. Vào Recruitment &gt; Vacancies &gt; Add.
2. Điền tên, chọn QA Engineer, chọn NVThangA101 qua suggestion; Positions=1.
3. Save, tìm VAC_RUN01 và mở lại.
Kết thúc: khôi phục / dọn dẹp fixture theo Test Data; không dùng bản ghi của người khác.</t>
  </si>
  <si>
    <t>Tiền điều kiện: Đã đăng nhập Admin/Recruitment; có QA Engineer, NVThangA101 hợp lệ; dữ liệu khác biệt theo RUN_ID.
Input: Name=VAC_RUN02; QA Engineer; NVThangA101; Positions=3; Description=QA automation; Active=On; Publish=On
1. Mở Add Vacancy.
2. Điền tất cả các trường và bật hai checkbox.
3. Save; tìm lại VAC_RUN02, mở edit.
Kết thúc: khôi phục / dọn dẹp fixture theo Test Data; không dùng bản ghi của người khác.</t>
  </si>
  <si>
    <t>Tiền điều kiện: Đã đăng nhập Admin/Recruitment; có QA Engineer, NVThangA101 hợp lệ; dữ liệu khác biệt theo RUN_ID.
Input: Name=VAC_RUN03; Job Title trống; Manager=NVThangA101
1. Mở Add Vacancy; điền tên, manager và để Job Title rỗng.
2. Bấm Save; kiểm tra lỗi và tìm tên.
Kết thúc: khôi phục / dọn dẹp fixture theo Test Data; không dùng bản ghi của người khác.</t>
  </si>
  <si>
    <t>Tiền điều kiện: Đã đăng nhập Admin/Recruitment; có QA Engineer, NVThangA101 hợp lệ; dữ liệu khác biệt theo RUN_ID.
Input: Name rỗng; QA Engineer; NVThangA101
1. Mở Add Vacancy; chọn QA Engineer, NVThangA101 và để trống Name.
2. Bấm Save; quan sát validation.
Kết thúc: khôi phục / dọn dẹp fixture theo Test Data; không dùng bản ghi của người khác.</t>
  </si>
  <si>
    <t>Tiền điều kiện: Đã đăng nhập Admin/Recruitment; có QA Engineer, NVThangA101 hợp lệ; dữ liệu khác biệt theo RUN_ID.
Input: Name=VAC_RUN05; QA Engineer; Manager trống
1. Mở Add Vacancy; điền Name và QA Engineer nhưng không chọn Manager.
2. Bấm Save; kiểm tra lỗi.
Kết thúc: khôi phục / dọn dẹp fixture theo Test Data; không dùng bản ghi của người khác.</t>
  </si>
  <si>
    <t>Tiền điều kiện: Đã đăng nhập Admin/Recruitment; có QA Engineer, NVThangA101 hợp lệ; dữ liệu khác biệt theo RUN_ID.
Input: Name='   '; QA Engineer; NVThangA101
1. Mở Add Vacancy; nhập 3 dấu cách tại Name.
2. Bấm Save, tìm bản ghi nếu cần.
Kết thúc: khôi phục / dọn dẹp fixture theo Test Data; không dùng bản ghi của người khác.</t>
  </si>
  <si>
    <t>Tiền điều kiện: Đã đăng nhập Admin/Recruitment; có QA Engineer, NVThangA101 hợp lệ; dữ liệu khác biệt theo RUN_ID.
Input: Name=VAC_RUN07; gõ tiền tố NVThangA101, chọn suggestion chính xác
1. Mở Add Vacancy, điền Name và QA Engineer.
2. Gõ một phần NVThangA101, chọn đúng suggestion; Save.
3. Mở lại bản ghi.
Kết thúc: khôi phục / dọn dẹp fixture theo Test Data; không dùng bản ghi của người khác.</t>
  </si>
  <si>
    <t>Tiền điều kiện: Đã đăng nhập Admin/Recruitment; có QA Engineer, NVThangA101 hợp lệ; dữ liệu khác biệt theo RUN_ID.
Input: Name=VAC_RUN08; Positions=1
1. Mở Add, nhập đủ trường và Positions=1.
2. Save rồi mở lại.
Kết thúc: khôi phục / dọn dẹp fixture theo Test Data; không dùng bản ghi của người khác.</t>
  </si>
  <si>
    <t>Tiền điều kiện: Đã đăng nhập Admin/Recruitment; có QA Engineer, NVThangA101 hợp lệ; dữ liệu khác biệt theo RUN_ID.
Input: Name=VAC_RUN09; Positions=0
1. Mở Add, nhập đủ trường và Positions=0.
2. Save; xem validation và kiểm tra danh sách.
Kết thúc: khôi phục / dọn dẹp fixture theo Test Data; không dùng bản ghi của người khác.</t>
  </si>
  <si>
    <t>Tiền điều kiện: Đã đăng nhập Admin/Recruitment; có QA Engineer, NVThangA101 hợp lệ; dữ liệu khác biệt theo RUN_ID.
Input: Name=VAC_RUN10; Positions=-1
1. Mở Add, nhập đủ trường và -1 vào Positions.
2. Save; quan sát lỗi.
Kết thúc: khôi phục / dọn dẹp fixture theo Test Data; không dùng bản ghi của người khác.</t>
  </si>
  <si>
    <t>Tiền điều kiện: Đã đăng nhập Admin/Recruitment; có QA Engineer, NVThangA101 hợp lệ; dữ liệu khác biệt theo RUN_ID.
Input: Name=VAC_RUN11; Positions='abc'
1. Mở Add, điền Name/QA Engineer/NVThangA101.
2. Nhập hoặc paste 'abc' vào Positions; Save.
Kết thúc: khôi phục / dọn dẹp fixture theo Test Data; không dùng bản ghi của người khác.</t>
  </si>
  <si>
    <t>Tiền điều kiện: Đã đăng nhập Admin/Recruitment; có QA Engineer, NVThangA101 hợp lệ; dữ liệu khác biệt theo RUN_ID.
Input: Name=VAC_RUN12; Active=On; Publish=Off
1. Mở Add, điền đủ trường.
2. Bật Active, tắt Publish; Save; mở lại.
Kết thúc: khôi phục / dọn dẹp fixture theo Test Data; không dùng bản ghi của người khác.</t>
  </si>
  <si>
    <t>Tiền điều kiện: Đã đăng nhập Admin/Recruitment; có QA Engineer, NVThangA101 hợp lệ; dữ liệu khác biệt theo RUN_ID.
Input: Name=VAC_RUN13; Active=Off; Publish=Off
1. Mở Add, nhập đủ trường.
2. Tắt Active và Publish; Save; mở lại.
Kết thúc: khôi phục / dọn dẹp fixture theo Test Data; không dùng bản ghi của người khác.</t>
  </si>
  <si>
    <t>Tiền điều kiện: Đã đăng nhập Admin/Recruitment; có QA Engineer, NVThangA101 hợp lệ; dữ liệu khác biệt theo RUN_ID.
Input: Name=VAC_RUN14; Active=On; Publish=On
1. Mở Add, nhập đủ trường.
2. Bật Active và Publish; Save; mở lại.
Kết thúc: khôi phục / dọn dẹp fixture theo Test Data; không dùng bản ghi của người khác.</t>
  </si>
  <si>
    <t>Tiền điều kiện: Đã đăng nhập Admin/Recruitment; có QA Engineer, NVThangA101 hợp lệ; dữ liệu khác biệt theo RUN_ID.
Input: VAC_EDIT; Active=On→Off→On
1. Mở VAC_EDIT (Active=On).
2. Đổi Off, Save và reload.
3. Đổi lại On, Save và reload.
Kết thúc: khôi phục / dọn dẹp fixture theo Test Data; không dùng bản ghi của người khác.</t>
  </si>
  <si>
    <t>Tiền điều kiện: Đã đăng nhập Admin/Recruitment; có QA Engineer, NVThangA101 hợp lệ; dữ liệu khác biệt theo RUN_ID.
Input: QA Engineer; VAC_FILTER_A thuộc QA Engineer
1. Vào Vacancies; chọn Job Title=QA Engineer, Search.
2. Kiểm tra tên và Job Title trên từng dòng.
Kết thúc: khôi phục / dọn dẹp fixture theo Test Data; không dùng bản ghi của người khác.</t>
  </si>
  <si>
    <t>Tiền điều kiện: Đã đăng nhập Admin/Recruitment; có QA Engineer, NVThangA101 hợp lệ; dữ liệu khác biệt theo RUN_ID.
Input: NVThangA101; VAC_FILTER_A thuộc NVThangA101
1. Mở Vacancies, chọn Manager=NVThangA101, Search.
2. Kiểm tra danh sách.
Kết thúc: khôi phục / dọn dẹp fixture theo Test Data; không dùng bản ghi của người khác.</t>
  </si>
  <si>
    <t>Tiền điều kiện: Đã đăng nhập Admin/Recruitment; có QA Engineer, NVThangA101 hợp lệ; dữ liệu khác biệt theo RUN_ID.
Input: VAC_FILTER_A
1. Mở Vacancies, nhập/chọn đúng Vacancy Name=VAC_FILTER_A.
2. Search.
Kết thúc: khôi phục / dọn dẹp fixture theo Test Data; không dùng bản ghi của người khác.</t>
  </si>
  <si>
    <t>Tiền điều kiện: Đã đăng nhập Admin/Recruitment; có QA Engineer, NVThangA101 hợp lệ; dữ liệu khác biệt theo RUN_ID.
Input: QA Engineer + NVThangA101
1. Mở Vacancies; chọn QA Engineer và NVThangA101.
2. Search; đối chiếu mỗi dòng.
Kết thúc: khôi phục / dọn dẹp fixture theo Test Data; không dùng bản ghi của người khác.</t>
  </si>
  <si>
    <t>Tiền điều kiện: Đã đăng nhập Admin/Recruitment; có QA Engineer, NVThangA101 hợp lệ; dữ liệu khác biệt theo RUN_ID.
Input: VAC_NOT_EXIST_RUN
1. Tìm tên vacancy được bảo đảm chưa tồn tại.
2. Search; quan sát bảng.
Kết thúc: khôi phục / dọn dẹp fixture theo Test Data; không dùng bản ghi của người khác.</t>
  </si>
  <si>
    <t>Tiền điều kiện: Đã đăng nhập Admin/Recruitment; có QA Engineer, NVThangA101 hợp lệ; dữ liệu khác biệt theo RUN_ID.
Input: QA Engineer + NVThangA101
1. Áp dụng hai bộ lọc, Search.
2. Nhấn Reset.
3. Kiểm tra input và danh sách.
Kết thúc: khôi phục / dọn dẹp fixture theo Test Data; không dùng bản ghi của người khác.</t>
  </si>
  <si>
    <t>Tiền điều kiện: Đã đăng nhập Admin/Recruitment; có QA Engineer, NVThangA101 hợp lệ; dữ liệu khác biệt theo RUN_ID.
Input: VAC_EDIT; Description cũ→'Description updated RUN'
1. Ghi baseline của VAC_EDIT; mở edit.
2. Đổi Description, Save.
3. Reload, đối chiếu.
Kết thúc: khôi phục / dọn dẹp fixture theo Test Data; không dùng bản ghi của người khác.</t>
  </si>
  <si>
    <t>Tiền điều kiện: Đã đăng nhập Admin/Recruitment; có QA Engineer, NVThangA101 hợp lệ; dữ liệu khác biệt theo RUN_ID.
Input: Name=VAC_CANCEL_RUN; QA Engineer; NVThangA101
1. Mở Add, điền đầy đủ và chưa Save.
2. Nhấn Cancel, trở lại danh sách.
3. Tìm VAC_CANCEL_RUN.
Kết thúc: khôi phục / dọn dẹp fixture theo Test Data; không dùng bản ghi của người khác.</t>
  </si>
  <si>
    <t>Tiền điều kiện: Đã đăng nhập Admin/Recruitment; có QA Engineer, NVThangA101 hợp lệ; dữ liệu khác biệt theo RUN_ID.
Input: VAC_EDIT; Name tạm='VAC_UNSAVED_RUN'
1. Ghi baseline; mở edit và đổi Name.
2. Nhấn Cancel trước Save.
3. Mở lại VAC_EDIT.
Kết thúc: khôi phục / dọn dẹp fixture theo Test Data; không dùng bản ghi của người khác.</t>
  </si>
  <si>
    <t>G01_23130299_R01</t>
  </si>
  <si>
    <t>Tiền điều kiện: Đã đăng nhập Admin/Recruitment; có QA Engineer, NVThangA101 hợp lệ; dữ liệu khác biệt theo RUN_ID.
Input: VAC_EDIT; Positions=4; NNLinhB201
1. Mở VAC_EDIT; chỉnh Positions=4, chọn NNLinhB201.
2. Save rồi reload.
Kết thúc: khôi phục / dọn dẹp fixture theo Test Data; không dùng bản ghi của người khác.</t>
  </si>
  <si>
    <t>G01_23130299_R01 chỉ là mẫu. Trước execution chọn RUN_ID duy nhất; resolve từng tên/email fixture chứa RUN, RUN_ID hoặc [RUN_ID] vào ledger theo TC, không replace toàn cục hoặc đổi input negative.</t>
  </si>
  <si>
    <t>Chưa xác minh. Chỉ dùng dữ liệu giả; chưa tạo fixture hoặc ghi timestamp execution.</t>
  </si>
  <si>
    <t>Chưa xác minh – đọc giới hạn thực tế trên OrangeHRM Demo trước execution.</t>
  </si>
  <si>
    <t>Tiền kiểm và extension</t>
  </si>
  <si>
    <t>Khi bắt đầu automation: kiểm tra/cài Katalon Recorder browser extension; ghi phiên bản thực tế của extension và browser, URL và quyền Recruitment.</t>
  </si>
  <si>
    <t>Xác minh extension hoạt động, mở được Vacancies/Candidates; lưu môi trường khi execution thật.</t>
  </si>
  <si>
    <t>Chưa cài/chạy trong lần sửa workbook; không tự điền phiên bản hoặc ngày chạy.</t>
  </si>
  <si>
    <t>Fixture riêng</t>
  </si>
  <si>
    <t>Chuẩn bị RUN_ID và ledger theo Test Data; xác minh JOB_A, MANAGER_A/B, INT_A/B; sau đó chuẩn bị vacancy/candidate đúng trạng thái.</t>
  </si>
  <si>
    <t>Ghi key, tên/email, baseline và status thực tế; kiểm tra tên không trùng trước từng case.</t>
  </si>
  <si>
    <t>QA Engineer cần kiểm tra lại; không tự tạo hoặc sửa employee/danh mục dùng chung.</t>
  </si>
  <si>
    <t>Suite và test case</t>
  </si>
  <si>
    <t>Tạo suite riêng cho RECRUIT_VAC, RECRUIT_CAND, RECRUIT_FLOW; tên test case giữ đúng TC_RECRUIT_* hiện tại.</t>
  </si>
  <si>
    <t>Đủ mapping TC–TD; chọn 3–5 smoke mỗi chức năng trước khi mở rộng.</t>
  </si>
  <si>
    <t>Chưa đổi 75 TC ID hoặc 15 TD ID; đề xuất đổi ID chờ nhóm trưởng xác nhận.</t>
  </si>
  <si>
    <t>Record và chỉnh bước</t>
  </si>
  <si>
    <t>Record thao tác trên OrangeHRM Demo ở giai đoạn automation; chỉnh Command, Target, Value; dùng input từ ledger đã xác minh.</t>
  </si>
  <si>
    <t>Mỗi thao tác có target đúng field/form/candidate; đối chiếu input, checkpoint và expected.</t>
  </si>
  <si>
    <t>Không record/tạo dữ liệu trong lần sửa workbook; không coi chuỗi click/type hoàn tất là Passed.</t>
  </si>
  <si>
    <t>Locator, dropdown, AJAX</t>
  </si>
  <si>
    <t>Khảo sát DOM thực tế; kiểm tra CSS/XPath duy nhất. Job Title theo loại dropdown; manager/interviewer phải chọn suggestion đúng người.</t>
  </si>
  <si>
    <t>Đợi suggestion và tập kết quả mới sau Search/Reset; kiểm tra positive/negative controls và pagination nếu cần.</t>
  </si>
  <si>
    <t>Không dự đoán selector; không chọn option theo index hoặc chỉ gõ tên mà không chọn autocomplete.</t>
  </si>
  <si>
    <t>Vacancies smoke</t>
  </si>
  <si>
    <t>Lỗi Required đúng field; không phát sinh record sai; dữ liệu mở lại và filter mặc định đúng expected.</t>
  </si>
  <si>
    <t>Fixture JOB_A/MANAGER_A, VAC_FILTER_A/B phải sẵn; biên 0/-1 chờ xác minh rule.</t>
  </si>
  <si>
    <t>Candidates smoke</t>
  </si>
  <si>
    <t>Tên/email/vacancy sau mở lại đúng; validation đúng field; không tạo hồ sơ invalid.</t>
  </si>
  <si>
    <t>Xác minh cách tìm đúng candidate; nhóm upload CV thực hiện sau preflight file/browser.</t>
  </si>
  <si>
    <t>Workflow smoke</t>
  </si>
  <si>
    <t>Assert status, interview title/interviewer/date/time/notes và Candidate History đúng candidate.</t>
  </si>
  <si>
    <t>Không lấy output TC trước làm setup ngầm; INT_A và định dạng ngày/giờ phải được xác minh.</t>
  </si>
  <si>
    <t>Giới hạn cần xác minh</t>
  </si>
  <si>
    <t>Chốt rule, control tìm kiếm, CV format/limit theo byte, capability upload/download và trạng thái theo UI.</t>
  </si>
  <si>
    <t>Không đổi Expected chỉ để Passed; chưa thực thi giữ Untested; thiếu fixture/capability khi chạy ghi Blocked kèm lý do.</t>
  </si>
  <si>
    <t>Wait và assertion</t>
  </si>
  <si>
    <t>Bổ sung wait/assertion đúng Command được phiên bản Recorder hỗ trợ; ví dụ waitForElementPresent, assertText, assertValue sau kiểm tra dropdown Command.</t>
  </si>
  <si>
    <t>Required tại đúng field; Save rồi mở lại; đợi dữ liệu cuối sau AJAX, không chỉ container tồn tại.</t>
  </si>
  <si>
    <t>Giới hạn timeout hữu hạn; không dùng pause dài thay đồng bộ; không đưa command của công cụ khác vào Recorder.</t>
  </si>
  <si>
    <t>Replay và evidence</t>
  </si>
  <si>
    <t>Chạy lại từng case rồi Play Suite; lưu log nguyên bản, ảnh checkpoint/lỗi, actual và status thật tại evidence/executions/23130299/&lt;RunID&gt;/&lt;CaseID&gt;/.</t>
  </si>
  <si>
    <t>Đối chiếu assertion trước khi điền Result, Test date, Note/evidence; giữ riêng run lỗi và rerun.</t>
  </si>
  <si>
    <t>Hiện chưa có execution; không điền ngày/kết quả giả. Chạy lại suite khi thay đổi hoặc sau tích hợp.</t>
  </si>
  <si>
    <t>Cleanup và khôi phục</t>
  </si>
  <si>
    <t>Ghi evidence trước cleanup; restore baseline của fixture edit; dọn candidate trước vacancy, chỉ xử lý key/record thuộc RUN_ID của mình.</t>
  </si>
  <si>
    <t>Kiểm tra từng record đã dọn hoặc còn cần dọn; lưu kết quả cleanup thực tế, không khẳng định chung đã xong.</t>
  </si>
  <si>
    <t>Case dừng vì assertion có thể bỏ qua bước cleanup cuối; cần checklist riêng. Không xóa employee/danh mục mượn dùng.</t>
  </si>
  <si>
    <t>Lưu suite và Git</t>
  </si>
  <si>
    <t>Lưu tại automation/23130299/KatalonRecorder/ theo chức năng; native HTML nếu phiên bản hỗ trợ, import lại để kiểm tra; kèm README setup/run/reset.</t>
  </si>
  <si>
    <t>Kiểm tra status trên NVThang; khi sẵn sàng mới commit/push nhánh cá nhân, PR vào dev, lưu ảnh push/merge thật.</t>
  </si>
  <si>
    <t>Chưa tạo suite/thư mục hoặc thao tác Git trong lần sửa này. Group01.txt đã có link; không cần tạo lại nhánh.</t>
  </si>
  <si>
    <t>RECRUIT_VAC_Create_01</t>
  </si>
  <si>
    <t>RECRUIT_VAC_Create_02</t>
  </si>
  <si>
    <t>RECRUIT_VAC_Create_03</t>
  </si>
  <si>
    <t>RECRUIT_VAC_Create_04</t>
  </si>
  <si>
    <t>RECRUIT_VAC_Create_05</t>
  </si>
  <si>
    <t>RECRUIT_VAC_Create_06</t>
  </si>
  <si>
    <t>RECRUIT_VAC_Create_07</t>
  </si>
  <si>
    <t>RECRUIT_VAC_Create_08</t>
  </si>
  <si>
    <t>RECRUIT_VAC_Create_09</t>
  </si>
  <si>
    <t>RECRUIT_VAC_Create_10</t>
  </si>
  <si>
    <t>RECRUIT_VAC_Create_11</t>
  </si>
  <si>
    <t>RECRUIT_VAC_Create_12</t>
  </si>
  <si>
    <t>RECRUIT_VAC_Create_13</t>
  </si>
  <si>
    <t>RECRUIT_VAC_Create_14</t>
  </si>
  <si>
    <t>RECRUIT_VAC_Update_01</t>
  </si>
  <si>
    <t>RECRUIT_VAC_Search_01</t>
  </si>
  <si>
    <t>RECRUIT_VAC_Search_02</t>
  </si>
  <si>
    <t>RECRUIT_VAC_Search_03</t>
  </si>
  <si>
    <t>RECRUIT_VAC_Filter_01</t>
  </si>
  <si>
    <t>RECRUIT_VAC_Filter_02</t>
  </si>
  <si>
    <t>RECRUIT_VAC_Reset_01</t>
  </si>
  <si>
    <t>RECRUIT_VAC_Update_02</t>
  </si>
  <si>
    <t>RECRUIT_VAC_Update_03</t>
  </si>
  <si>
    <t>RECRUIT_VAC_CancelCreate_01</t>
  </si>
  <si>
    <t>RECRUIT_VAC_CancelUpdate_01</t>
  </si>
  <si>
    <t>RECRUIT_CAND_Create_01</t>
  </si>
  <si>
    <t>RECRUIT_CAND_Create_02</t>
  </si>
  <si>
    <t>RECRUIT_CAND_Create_03</t>
  </si>
  <si>
    <t>RECRUIT_CAND_Create_04</t>
  </si>
  <si>
    <t>RECRUIT_CAND_Create_05</t>
  </si>
  <si>
    <t>RECRUIT_CAND_Create_06</t>
  </si>
  <si>
    <t>RECRUIT_CAND_Create_07</t>
  </si>
  <si>
    <t>RECRUIT_CAND_Create_08</t>
  </si>
  <si>
    <t>RECRUIT_CAND_Create_09</t>
  </si>
  <si>
    <t>RECRUIT_CAND_Create_10</t>
  </si>
  <si>
    <t>RECRUIT_CAND_Create_11</t>
  </si>
  <si>
    <t>RECRUIT_CAND_Create_12</t>
  </si>
  <si>
    <t>RECRUIT_CAND_UploadCV_01</t>
  </si>
  <si>
    <t>RECRUIT_CAND_UploadCV_02</t>
  </si>
  <si>
    <t>RECRUIT_CAND_UploadCV_03</t>
  </si>
  <si>
    <t>RECRUIT_CAND_UploadCV_04</t>
  </si>
  <si>
    <t>RECRUIT_CAND_UploadCV_05</t>
  </si>
  <si>
    <t>RECRUIT_CAND_Filter_01</t>
  </si>
  <si>
    <t>RECRUIT_CAND_Search_01</t>
  </si>
  <si>
    <t>RECRUIT_CAND_Filter_02</t>
  </si>
  <si>
    <t>RECRUIT_CAND_Filter_03</t>
  </si>
  <si>
    <t>RECRUIT_CAND_Reset_01</t>
  </si>
  <si>
    <t>RECRUIT_CAND_Update_01</t>
  </si>
  <si>
    <t>RECRUIT_CAND_CancelUpdate_01</t>
  </si>
  <si>
    <t>RECRUIT_CAND_VerifyDetails_01</t>
  </si>
  <si>
    <t>RECRUIT_FLOW_Status_01</t>
  </si>
  <si>
    <t>RECRUIT_FLOW_Shortlist_01</t>
  </si>
  <si>
    <t>RECRUIT_FLOW_Reject_01</t>
  </si>
  <si>
    <t>RECRUIT_FLOW_Reject_02</t>
  </si>
  <si>
    <t>RECRUIT_FLOW_CancelShortlist_01</t>
  </si>
  <si>
    <t>RECRUIT_FLOW_ScheduleInterview_01</t>
  </si>
  <si>
    <t>RECRUIT_FLOW_ScheduleInterview_02</t>
  </si>
  <si>
    <t>RECRUIT_FLOW_ScheduleInterview_03</t>
  </si>
  <si>
    <t>RECRUIT_FLOW_ScheduleInterview_04</t>
  </si>
  <si>
    <t>RECRUIT_FLOW_ScheduleInterview_05</t>
  </si>
  <si>
    <t>RECRUIT_FLOW_ScheduleInterview_06</t>
  </si>
  <si>
    <t>RECRUIT_FLOW_ScheduleInterview_07</t>
  </si>
  <si>
    <t>RECRUIT_FLOW_SelectInterviewer_01</t>
  </si>
  <si>
    <t>RECRUIT_FLOW_SelectInterviewer_02</t>
  </si>
  <si>
    <t>RECRUIT_FLOW_SelectInterviewer_03</t>
  </si>
  <si>
    <t>RECRUIT_FLOW_ValidateAction_01</t>
  </si>
  <si>
    <t>RECRUIT_FLOW_ValidateAction_02</t>
  </si>
  <si>
    <t>RECRUIT_FLOW_Status_02</t>
  </si>
  <si>
    <t>RECRUIT_FLOW_ValidateAction_03</t>
  </si>
  <si>
    <t>RECRUIT_FLOW_CancelReject_01</t>
  </si>
  <si>
    <t>RECRUIT_FLOW_VerifyDetails_01</t>
  </si>
  <si>
    <t>RECRUIT_FLOW_History_01</t>
  </si>
  <si>
    <t>RECRUIT_FLOW_History_02</t>
  </si>
  <si>
    <t>RECRUIT_FLOW_History_03</t>
  </si>
  <si>
    <t>RECRUIT_FLOW_History_04</t>
  </si>
  <si>
    <t>Giảng viên Trần Thị Thanh Nga</t>
  </si>
  <si>
    <t>RECRUIT_VAC_Update_01, RECRUIT_VAC_Update_02, RECRUIT_VAC_Update_03, RECRUIT_VAC_CancelCreate_01, RECRUIT_VAC_CancelUpdate_01</t>
  </si>
  <si>
    <t>RECRUIT_VAC_Search_01, RECRUIT_VAC_Search_02, RECRUIT_VAC_Search_03, RECRUIT_VAC_Filter_01, RECRUIT_VAC_Filter_02, RECRUIT_VAC_Reset_01</t>
  </si>
  <si>
    <t>RECRUIT_VAC_Search_03, RECRUIT_VAC_Filter_01</t>
  </si>
  <si>
    <t>RECRUIT_CAND_Update_01, RECRUIT_CAND_CancelUpdate_01, RECRUIT_CAND_VerifyDetails_01</t>
  </si>
  <si>
    <t>RECRUIT_CAND_Filter_01, RECRUIT_CAND_Search_01, RECRUIT_CAND_Filter_02, RECRUIT_CAND_Filter_03, RECRUIT_CAND_Reset_01</t>
  </si>
  <si>
    <t>RECRUIT_FLOW_Status_01, RECRUIT_FLOW_Shortlist_01, RECRUIT_FLOW_Reject_01, RECRUIT_FLOW_CancelShortlist_01, RECRUIT_FLOW_ValidateAction_01, RECRUIT_FLOW_VerifyDetails_01, RECRUIT_FLOW_History_01; RECRUIT_FLOW_Reject_02 dùng F_SHORT_04.</t>
  </si>
  <si>
    <t>RECRUIT_FLOW_Reject_02, RECRUIT_FLOW_ScheduleInterview_01, RECRUIT_FLOW_ScheduleInterview_02, RECRUIT_FLOW_ScheduleInterview_03, RECRUIT_FLOW_ScheduleInterview_04, RECRUIT_FLOW_ScheduleInterview_05, RECRUIT_FLOW_ScheduleInterview_06, RECRUIT_FLOW_ScheduleInterview_07, RECRUIT_FLOW_SelectInterviewer_01, RECRUIT_FLOW_SelectInterviewer_02, RECRUIT_FLOW_SelectInterviewer_03, RECRUIT_FLOW_ValidateAction_02, RECRUIT_FLOW_Status_02, RECRUIT_FLOW_CancelReject_01, RECRUIT_FLOW_History_02</t>
  </si>
  <si>
    <t>RECRUIT_FLOW_ValidateAction_03, RECRUIT_FLOW_History_03</t>
  </si>
  <si>
    <t>RECRUIT_FLOW_ScheduleInterview_01, RECRUIT_FLOW_ScheduleInterview_02, RECRUIT_FLOW_ScheduleInterview_03, RECRUIT_FLOW_ScheduleInterview_04, RECRUIT_FLOW_ScheduleInterview_05, RECRUIT_FLOW_ScheduleInterview_06, RECRUIT_FLOW_ScheduleInterview_07, RECRUIT_FLOW_SelectInterviewer_01, RECRUIT_FLOW_SelectInterviewer_02, RECRUIT_FLOW_SelectInterviewer_03, RECRUIT_FLOW_History_04</t>
  </si>
  <si>
    <t>RECRUIT_CAND_UploadCV_01, RECRUIT_CAND_UploadCV_02, RECRUIT_CAND_UploadCV_03, RECRUIT_CAND_UploadCV_04, RECRUIT_CAND_UploadCV_05</t>
  </si>
  <si>
    <t>RECRUIT_FLOW_ScheduleInterview_01, RECRUIT_FLOW_ScheduleInterview_02, RECRUIT_FLOW_ScheduleInterview_03, RECRUIT_FLOW_ScheduleInterview_04, RECRUIT_FLOW_ScheduleInterview_05, RECRUIT_FLOW_ScheduleInterview_06, RECRUIT_FLOW_ScheduleInterview_07; RECRUIT_CAND_Filter_03</t>
  </si>
  <si>
    <t>Ưu tiên RECRUIT_VAC_Create_01, RECRUIT_VAC_Create_03, RECRUIT_VAC_Create_04, RECRUIT_VAC_Create_05, RECRUIT_VAC_Reset_01; record Required đơn giản trước, sau đó create/persist và Reset.</t>
  </si>
  <si>
    <t>Ưu tiên RECRUIT_CAND_Create_01, RECRUIT_CAND_Create_03, RECRUIT_CAND_Create_04, RECRUIT_CAND_Create_05, RECRUIT_CAND_Create_09; chạy sau khi VAC_A được chuẩn bị và xác minh.</t>
  </si>
  <si>
    <t>Ưu tiên RECRUIT_FLOW_Status_01, RECRUIT_FLOW_Shortlist_01, RECRUIT_FLOW_Reject_01, RECRUIT_FLOW_ScheduleInterview_01, RECRUIT_FLOW_ScheduleInterview_02; mỗi nhánh có F_NEW/F_SHORT riêng đúng trạng thái.</t>
  </si>
  <si>
    <t>Review RECRUIT_VAC_Create_06, RECRUIT_VAC_Create_09, RECRUIT_VAC_Create_10, RECRUIT_VAC_Filter_02; RECRUIT_CAND_Create_06, RECRUIT_CAND_Create_07, RECRUIT_CAND_Create_11, RECRUIT_CAND_UploadCV_01, RECRUIT_CAND_UploadCV_02, RECRUIT_CAND_UploadCV_03, RECRUIT_CAND_UploadCV_04, RECRUIT_CAND_UploadCV_05; RECRUIT_FLOW_ScheduleInterview_06, RECRUIT_FLOW_SelectInterviewer_02, RECRUIT_FLOW_SelectInterviewer_03, RECRUIT_FLOW_ValidateAction_03, RECRUIT_FLOW_VerifyDetails_01 và các nhãn History còn điều kiện.</t>
  </si>
  <si>
    <t>Kiểm thử tạo Vacancy với 7 trường hợp đầu tiên (Create_01–07), bao gồm các điều kiện nhập liệu và xác thực biểu mẫu.</t>
  </si>
  <si>
    <t>Kiểm thử các trường hợp tạo Vacancy tiếp theo (Create_08–11), tập trung vào kiểm tra dữ liệu đầu vào.</t>
  </si>
  <si>
    <t>Kiểm thử các trường hợp tạo Vacancy (Create_12–14) và cập nhật Vacancy (Update_01).</t>
  </si>
  <si>
    <t>Kiểm thử tìm kiếm (Search_01–03), lọc (Filter_01–02) và đặt lại bộ lọc Vacancy (Reset_01).</t>
  </si>
  <si>
    <t>Kiểm thử cập nhật Vacancy (Update_02–03), hủy tạo mới (CancelCreate_01) và hủy chỉnh sửa (CancelUpdate_01).</t>
  </si>
  <si>
    <t>Kiểm thử thêm Candidate với 7 trường hợp đầu tiên (Create_01–07), bao gồm nhập thông tin và xác thực dữ liệu.</t>
  </si>
  <si>
    <t>Kiểm thử các trường hợp thêm Candidate tiếp theo (Create_08–12), tập trung vào kiểm tra dữ liệu đầu vào.</t>
  </si>
  <si>
    <t>Kiểm thử tải lên CV với 5 trường hợp (UploadCV_01–05), bao gồm các điều kiện kiểm tra tệp.</t>
  </si>
  <si>
    <t>Kiểm thử lọc Candidate (Filter_01–03), tìm kiếm (Search_01) và đặt lại bộ lọc (Reset_01).</t>
  </si>
  <si>
    <t>Kiểm thử cập nhật Candidate (Update_01), hủy chỉnh sửa (CancelUpdate_01) và xác minh thông tin chi tiết (VerifyDetails_01).</t>
  </si>
  <si>
    <t>Kiểm thử trạng thái Candidate (Status_01), Shortlist, Reject (Reject_01–02) và hủy Shortlist.</t>
  </si>
  <si>
    <t>Kiểm thử lên lịch phỏng vấn với 7 trường hợp (ScheduleInterview_01–07), bao gồm nhập liệu và xác thực lịch phỏng vấn.</t>
  </si>
  <si>
    <t>Kiểm thử lựa chọn Interviewer với 3 trường hợp (SelectInterviewer_01–03).</t>
  </si>
  <si>
    <t>Kiểm thử tính hợp lệ của thao tác Workflow (ValidateAction_01–03), thay đổi trạng thái (Status_02) và hủy Reject.</t>
  </si>
  <si>
    <t>Kiểm thử thông tin chi tiết Candidate (VerifyDetails_01) và lịch sử xử lý hồ sơ (History_01–04).</t>
  </si>
  <si>
    <t>Katalon Studio – Recruitment của Nguyễn Văn Thắng</t>
  </si>
  <si>
    <t>OrangeHRM Open Source Demo; quyền Admin/Recruitment; Katalon Studio. Phiên bản Studio: Đã xác minh.</t>
  </si>
  <si>
    <t>TD_RECRUIT_VAC_01
Positive; Phân vùng tương đương
Automation: P1
Run 20261023_115454: PASSED theo execution report.
Ảnh: RECRUIT_VAC_Create_01\20261023_115501_970</t>
  </si>
  <si>
    <t>TD_RECRUIT_VAC_01
Positive; Phân vùng tương đương
Automation: P1
Run 20261023_115454: PASSED theo execution report.
Ảnh: RECRUIT_VAC_Create_02\20261023_115554_453</t>
  </si>
  <si>
    <t>TD_RECRUIT_VAC_01
Negative; Phân vùng tương đương
Automation: P1
Run 20261023_115454: PASSED theo execution report.
Ảnh: RECRUIT_VAC_Create_03\20261023_115632_409</t>
  </si>
  <si>
    <t>TD_RECRUIT_VAC_01
Negative; Phân vùng tương đương
Automation: P1
Run 20261023_115454: PASSED theo execution report.
Ảnh: RECRUIT_VAC_Create_04\20261023_115648_301</t>
  </si>
  <si>
    <t>TD_RECRUIT_VAC_01
Negative; Phân vùng tương đương
Automation: P1
Run 20261023_115454: PASSED theo execution report.
Ảnh: RECRUIT_VAC_Create_05\20261023_115705_926</t>
  </si>
  <si>
    <t>TD_RECRUIT_VAC_01
Negative; Phân vùng tương đương
Automation: P1
Cần kiểm tra UI: Xác nhận trim trên demo trước khi cố định expected.
Run 20261023_115454: PASSED theo execution report.
Ảnh: RECRUIT_VAC_Create_06\20261023_115719_740</t>
  </si>
  <si>
    <t>TD_RECRUIT_VAC_01
Positive; Phân vùng tương đương / Autocomplete
Automation: P1
Run 20261023_115454: PASSED theo execution report.
Ảnh: RECRUIT_VAC_Create_07\20261023_115737_960</t>
  </si>
  <si>
    <t>TD_RECRUIT_VAC_02
Positive; Phân tích giá trị biên
Automation: P1
Run 20261023_115454: PASSED theo execution report.
Ảnh: RECRUIT_VAC_Create_08\20261023_115805_408</t>
  </si>
  <si>
    <t>TD_RECRUIT_VAC_02
Negative; Phân tích giá trị biên
Automation: P1
Cần kiểm tra UI: Kiểm tra giới hạn số lượng của bản demo; cập nhật nếu 0 được phép.
Run 20261023_115454: PASSED theo execution report.
Ảnh: RECRUIT_VAC_Create_09\20261023_115832_715</t>
  </si>
  <si>
    <t>TD_RECRUIT_VAC_02
Negative; Phân tích giá trị biên
Automation: P1
Cần kiểm tra UI: Xác nhận có ràng buộc &gt;=1.
Run 20261023_115454: PASSED theo execution report.
Ảnh: RECRUIT_VAC_Create_10\20261023_115853_350</t>
  </si>
  <si>
    <t>TD_RECRUIT_VAC_02
Negative; Phân tích giá trị biên
Automation: P1
Run 20261023_115454: PASSED theo execution report.
Ảnh: RECRUIT_VAC_Create_11\20261023_115923_537</t>
  </si>
  <si>
    <t>TD_RECRUIT_VAC_03
Positive; Chuyển trạng thái
Automation: P1
Run 20261023_115454: PASSED theo execution report.
Ảnh: RECRUIT_VAC_Create_12\20261023_115952_922</t>
  </si>
  <si>
    <t>TD_RECRUIT_VAC_03
Positive; Chuyển trạng thái
Automation: P1
Run 20261023_115454: PASSED theo execution report.
Ảnh: RECRUIT_VAC_Create_13\20261023_120026_939</t>
  </si>
  <si>
    <t>TD_RECRUIT_VAC_03
Positive; Chuyển trạng thái
Automation: P1
Run 20261023_115454: PASSED theo execution report.
Ảnh: RECRUIT_VAC_Create_14\20261023_120057_775</t>
  </si>
  <si>
    <t>TD_RECRUIT_VAC_03
Positive; Chuyển trạng thái
Automation: P1
Run 20261023_115454: PASSED theo execution report.
Ảnh: RECRUIT_VAC_Update_01\20261023_120127_246</t>
  </si>
  <si>
    <t>TD_RECRUIT_VAC_04
Positive; Phân vùng tương đương
Automation: P1
Run 20261023_115454: PASSED theo execution report.
Ảnh: RECRUIT_VAC_Search_01\20261023_120214_025</t>
  </si>
  <si>
    <t>TD_RECRUIT_VAC_04
Positive; Phân vùng tương đương
Automation: P1
Run 20261023_115454: PASSED theo execution report.
Ảnh: RECRUIT_VAC_Search_02\20261023_120300_138</t>
  </si>
  <si>
    <t>TD_RECRUIT_VAC_04
Positive; Phân vùng tương đương
Automation: P1
Run 20261023_115454: PASSED theo execution report.
Ảnh: RECRUIT_VAC_Search_03\20261023_120351_395</t>
  </si>
  <si>
    <t>TD_RECRUIT_VAC_04
Positive; Bảng quyết định
Automation: P1
Run 20261023_115454: PASSED theo execution report.
Ảnh: RECRUIT_VAC_Filter_01\20261023_120426_216</t>
  </si>
  <si>
    <t>TD_RECRUIT_VAC_04
Negative; Phân vùng tương đương
Automation: P1
Run 20261023_115454: PASSED theo execution report.
Ảnh: RECRUIT_VAC_Filter_02\20261023_120523_413</t>
  </si>
  <si>
    <t>TD_RECRUIT_VAC_04
Positive; Chuyển trạng thái
Automation: P1
Run 20261023_115454: PASSED theo execution report.
Ảnh: RECRUIT_VAC_Reset_01\20261023_120602_233</t>
  </si>
  <si>
    <t>TD_RECRUIT_VAC_05
Positive; Phân vùng tương đương
Automation: P1
Run 20261023_115454: ERROR (Katalon) – Timeout chờ toast Successfully Updated; không đủ bằng chứng xác nhận persistence.
Ảnh: RECRUIT_VAC_Update_02\20261023_120736_956</t>
  </si>
  <si>
    <t>TD_RECRUIT_VAC_05
Positive; Phân vùng tương đương
Automation: P1
Run 20261023_115454: ERROR (Katalon) – Timeout chờ toast Successfully Updated; không đủ bằng chứng xác nhận persistence.
Ảnh: RECRUIT_VAC_Update_03\20261023_120838_516</t>
  </si>
  <si>
    <t>TD_RECRUIT_VAC_05
Positive; Chuyển trạng thái
Automation: P1
Run 20261023_115454: PASSED theo execution report.
Ảnh: RECRUIT_VAC_CancelCreate_01\20261023_121008_008</t>
  </si>
  <si>
    <t>TD_RECRUIT_VAC_05
Positive; Chuyển trạng thái
Automation: P1
Run 20261023_115454: PASSED theo execution report.
Ảnh: RECRUIT_VAC_CancelUpdate_01\20261023_121027_749</t>
  </si>
  <si>
    <t>Đã thực hiện Katalon Studio</t>
  </si>
  <si>
    <t>Đã chuẩn bị RECRUIT_VAC</t>
  </si>
  <si>
    <t>Đã tổ chức suite RECRUIT_VAC</t>
  </si>
  <si>
    <t>Đã thực hiện RECRUIT_VAC</t>
  </si>
  <si>
    <t>Chưa thực hiện RECRUIT_CAND</t>
  </si>
  <si>
    <t>Chưa thực hiện RECRUIT_FLOW</t>
  </si>
  <si>
    <t>Đã rà soát RECRUIT_VAC</t>
  </si>
  <si>
    <t>Đã chạy RECRUIT_VAC</t>
  </si>
  <si>
    <t>Đã lưu suite, Git xác nhận</t>
  </si>
  <si>
    <t>Xác nhận cleanup dữ liệu</t>
  </si>
  <si>
    <t>1.1</t>
  </si>
  <si>
    <t>Triển khai 25 test case bằng Katalon Studio 11.6; kết quả 23 Passed, 2 Error; bổ sung Test Report và Screenshot Evidence</t>
  </si>
  <si>
    <t>RECRUIT_VAC Automation</t>
  </si>
  <si>
    <t>M</t>
  </si>
  <si>
    <t>RECRUIT_VAC_20261023_01</t>
  </si>
  <si>
    <t>Katalon Studio / Chrome 155.0.8059.85</t>
  </si>
  <si>
    <t>Tiền điều kiện: Đã đăng nhập Admin/Recruitment; có VAC_A đang hiệu lực; email example.com và fixture hồ sơ riêng theo RUN_ID.
Input: First=An; Last=NguyenRUN01; Email=an.run01@example.com; Vacancy=VAC_A
1. Vào Recruitment &gt; Candidates &gt; Add.
2. Nhập First, Last, Email và chọn VAC_A.
3. Save và ghi lại Candidate ID; mở lại hồ sơ để xác minh dữ liệu đã lưu.
4. Trở lại Candidates; tìm bằng Candidate Name, chọn đúng gợi ý, Search, mở đúng hồ sơ theo fixture/ID và đối chiếu Email với input (không tìm theo Email ở bộ lọc list).
Kết thúc: khôi phục / dọn dẹp fixture theo Test Data; không dùng bản ghi của người khác.</t>
  </si>
  <si>
    <t>Tiền điều kiện: Đã đăng nhập Admin/Recruitment; có VAC_A đang hiệu lực; email example.com và fixture hồ sơ riêng theo RUN_ID.
Input: First=Minh; Middle=Quang; Last=TranRUN02; Email=minh.run02@example.com; Phone=0900000002; Keywords=java,qa; Notes=demo; VAC_A
1. Mở Add Candidate; nhập đủ dữ liệu và chọn VAC_A.
2. Ghi nhận trạng thái checkbox Consent to keep data (không phải trường bắt buộc); Save.
3. Mở hồ sơ.
Kết thúc: khôi phục / dọn dẹp fixture theo Test Data; không dùng bản ghi của người khác.</t>
  </si>
  <si>
    <t>Tiền điều kiện: Đã đăng nhập Admin/Recruitment; có VAC_A đang hiệu lực; email example.com và fixture hồ sơ riêng theo RUN_ID.
Input: First=An; Last=NguyenRUN06; Email=run06@example.com; Vacancy rỗng
1. Mở Add Candidate, điền First/Last/Email.
2. Để trống Vacancy (không có rule Required trong Add Candidate); Save; mở lại hồ sơ nếu server chấp nhận.
Kết thúc: khôi phục / dọn dẹp fixture theo Test Data; không dùng bản ghi của người khác.</t>
  </si>
  <si>
    <t>Trường Vacancy không báo Required ở frontend; nếu server lưu thành công, hồ sơ mở lại có Vacancy trống. Ghi nhận riêng kết quả backend khi chạy thực tế.</t>
  </si>
  <si>
    <t>TD_RECRUIT_CAND_01
Positive; Phân vùng tương đương
Automation: P1
Đối chiếu app.js: Add Candidate không gán Required cho Vacancy; xác minh lưu với vacancyId=null khi chạy trên demo.</t>
  </si>
  <si>
    <t>Tiền điều kiện: Đã đăng nhập Admin/Recruitment; có VAC_A đang hiệu lực; email example.com và fixture hồ sơ riêng theo RUN_ID.
Input: First=An; Last=NguyenRUN07; Email=run07@example.com; Consent=On
1. Mở Add Candidate, nhập thông tin bắt buộc.
2. Bật checkbox Consent to keep data (form Add Candidate thực sự có trường này).
3. Save, mở lại Candidate Profile và đối chiếu trạng thái consent được lưu.
Kết thúc: khôi phục / dọn dẹp fixture theo Test Data; không dùng bản ghi của người khác.</t>
  </si>
  <si>
    <t>Candidate được lưu; Consent to keep data vẫn bật sau khi mở lại hồ sơ đúng Candidate ID.</t>
  </si>
  <si>
    <t>TD_RECRUIT_CAND_01
Positive; Phân vùng tương đương
Automation: P1
Đã xác minh trong app.js: checkbox consentToKeepData xuất hiện cả ở Add Candidate và Profile.</t>
  </si>
  <si>
    <t>Tiền điều kiện: Đã đăng nhập Admin/Recruitment; có VAC_A đang hiệu lực; email example.com và fixture hồ sơ riêng theo RUN_ID.
Input: Email=quality.run08@example.com
1. Add ứng viên tên riêng hợp lệ với email hợp lệ.
2. Save; lấy Candidate ID, mở lại đúng Profile và xác minh Email bằng giá trị input.
3. Nếu kiểm tra list, tìm bằng Candidate Name + xác minh ID; không dùng Email filter.
Kết thúc: khôi phục / dọn dẹp fixture theo Test Data; không dùng bản ghi của người khác.</t>
  </si>
  <si>
    <t>Email hợp lệ được lưu nguyên vẹn trong Candidate Profile sau khi mở lại đúng Candidate ID; không yêu cầu bộ lọc Email.</t>
  </si>
  <si>
    <t>Tiền điều kiện: Đã đăng nhập Admin/Recruitment; có VAC_A đang hiệu lực; email example.com và fixture hồ sơ riêng theo RUN_ID.
Input: Phone='abcXYZ'; Email=run11@example.com
1. Add hồ sơ với tên và email hợp lệ, Phone=abcXYZ.
2. Nhập Phone=abcXYZ, thử Save; xác minh lỗi validation tại Contact Number và không có hồ sơ mới.
Kết thúc: khôi phục / dọn dẹp fixture theo Test Data; không dùng bản ghi của người khác.</t>
  </si>
  <si>
    <t>Contact Number báo lỗi định dạng (chỉ chấp nhận chữ số và + - / ( ) dấu cách); Save không tạo Candidate khi nhập 'abcXYZ'.</t>
  </si>
  <si>
    <t>TD_RECRUIT_CAND_02
Negative; Phân vùng tương đương
Automation: P1
Đối chiếu app.js: contactNumber validator /^[0-9+\-/() ]+$/; chữ abcXYZ bị từ chối trước khi Save; xác minh thông báo khi runtime.</t>
  </si>
  <si>
    <t>Tiền điều kiện: Đã đăng nhập Admin/Recruitment; có VAC_A đang hiệu lực; email example.com và fixture hồ sơ riêng theo RUN_ID.
Input: resume_oversize.pdf; dung lượng đúng maxFileSize+1 byte sau khi xác minh maxFileSize numeric trong cấu hình render Add Candidate.
1. Xác minh giá trị maxFileSize (byte) từ cấu hình trang/component Add Candidate; đối chiếu nhãn dung lượng hiển thị, không suy ra chỉ từ '1 MB'. Nếu thiếu giá trị numeric thì ghi Needs verification, chưa chạy phép thử biên.
2. Add Candidate, chọn PDF có kích thước maxFileSize+1 byte; thử Save và xác minh lỗi tại Resume; không phát sinh attachment quá cỡ.
Kết thúc: khôi phục / dọn dẹp fixture theo Test Data; không dùng bản ghi của người khác.</t>
  </si>
  <si>
    <t>File Resume &gt; maxFileSize (byte) bị từ chối bằng validation của file-upload; không lưu attachment quá giới hạn. Phải xác minh maxFileSize thực tế trước khi chạy test biên.</t>
  </si>
  <si>
    <t>TD_RECRUIT_CAND_03
Negative; Phân tích giá trị biên
Automation: P1
app.js: Resume có rules uo(maxFileSize), po(allowedFileTypes); formattedFileSize dùng /1048576 để hiển thị, KHÔNG đủ để suy ra exact numeric maxFileSize. Cần cấu hình thật của Add Candidate.</t>
  </si>
  <si>
    <t>Tiền điều kiện: Đã đăng nhập Admin/Recruitment; có VAC_A đang hiệu lực; email example.com và fixture hồ sơ riêng theo RUN_ID.
Input: CAND_EDIT; Keywords=playwright,regression; Notes='Updated RUN'
1. Mở chi tiết CAND_EDIT; ghi baseline.
2. Bật Edit trên Candidate Profile; đổi Keywords/Notes; Save; reload đúng Profile ID.
Kết thúc: khôi phục / dọn dẹp fixture theo Test Data; không dùng bản ghi của người khác.</t>
  </si>
  <si>
    <t>Tiền điều kiện: Đã đăng nhập Admin/Recruitment; có VAC_A đang hiệu lực; email example.com và fixture hồ sơ riêng theo RUN_ID.
Input: CAND_EDIT; Email tạm=unsaved@example.com
1. Mở CAND_EDIT; ghi email gốc.
2. Bật Edit, đổi email tạm nhưng KHÔNG Save; rời Candidate Profile qua Recruitment &gt; Candidates.
3. Mở lại chính Candidate ID và kiểm tra Email vẫn là baseline.
Kết thúc: khôi phục / dọn dẹp fixture theo Test Data; không dùng bản ghi của người khác.</t>
  </si>
  <si>
    <t>Email sau khi mở lại đúng Candidate ID vẫn là baseline; email chưa Save không được ghi vào hồ sơ.</t>
  </si>
  <si>
    <t>Tiền điều kiện: Đã đăng nhập Admin/Recruitment; VAC_A và INTERVIEWER_A/B hiệu lực; ứng viên độc lập đúng trạng thái đầu vào.
Input: F_NEW_03 Application Initiated; Notes='Reject initial RUN'
1. Mở F_NEW_03.
2. Nhấn Reject để mở trang hành động; điền Notes nếu cần và Save.
3. Reload.
Kết thúc: khôi phục / dọn dẹp fixture theo Test Data; không dùng bản ghi của người khác.</t>
  </si>
  <si>
    <t>Hủy thao tác Shortlist trước khi Save</t>
  </si>
  <si>
    <t>Tiền điều kiện: Đã đăng nhập Admin/Recruitment; VAC_A và INTERVIEWER_A/B hiệu lực; ứng viên độc lập đúng trạng thái đầu vào.
Input: F_NEW_05 Application Initiated; Notes='Không được lưu'
1. Mở F_NEW_05; nhấn Shortlist để mở trang thao tác.
2. Điền Notes nếu có; nhấn Cancel trên trang Shortlist trước khi Save.
3. Reload.
Kết thúc: khôi phục / dọn dẹp fixture theo Test Data; không dùng bản ghi của người khác.</t>
  </si>
  <si>
    <t>Tiền điều kiện: Đã đăng nhập Admin/Recruitment; VAC_A và INTERVIEWER_A/B hiệu lực; ứng viên độc lập đúng trạng thái đầu vào.
Input: F_SHORT_14; INT_A và INT_B khác người
1. Mở Schedule Interview.
2. Chọn INT_A, bấm Add another (nếu control hiện), chọn INT_B từ đúng gợi ý, mỗi người chỉ xuất hiện một lần.
3. Điền Title/Date; Save; mở lại.
Kết thúc: khôi phục / dọn dẹp fixture theo Test Data; không dùng bản ghi của người khác.</t>
  </si>
  <si>
    <t>TD_RECRUIT_FLOW_03
Positive; Phân vùng tương đương
Automation: P1
Đối chiếu app.js: giao diện ScheduleInterview có mảng interviewers và onAddInterviewer() tối đa 5 trường; vẫn cần xác minh 2 nhân viên hợp lệ lúc runtime.</t>
  </si>
  <si>
    <t>TD_RECRUIT_FLOW_04
Positive; Chuyển trạng thái
Automation: P1
Cần xác minh runtime: frontend hiển thị nút theo GET /api/v2/recruitment/candidates/{id}/actions/allowed, không hardcode trạng thái.</t>
  </si>
  <si>
    <t>TD_RECRUIT_FLOW_04
Positive; Chuyển trạng thái
Automation: P1
Cần xác minh runtime: frontend hiển thị action theo API /actions/allowed; không thể suy luận trạng thái terminal chỉ từ bundle.</t>
  </si>
  <si>
    <t>Tiền điều kiện: Đã đăng nhập Admin/Recruitment; VAC_A và INTERVIEWER_A/B hiệu lực; ứng viên độc lập đúng trạng thái đầu vào.
Input: F_SHORT_20 Shortlisted
1. Mở F_SHORT_20; nhấn Reject.
2. Trên trang Reject, nhấn Cancel trước Save (không giả định có dialog).
3. Reload chi tiết.
Kết thúc: khôi phục / dọn dẹp fixture theo Test Data; không dùng bản ghi của người khác.</t>
  </si>
  <si>
    <t>Tiền điều kiện: Đã đăng nhập Admin/Recruitment; VAC_A và INTERVIEWER_A/B hiệu lực; ứng viên độc lập đúng trạng thái đầu vào.
Input: F_NEW_21; name/email/vacancy cố định theo Test Data
1. Vào Candidates; nhập Candidate Name của F_NEW_21, chọn đúng gợi ý và Search (không có Email filter).
2. Mở đúng Candidate Profile (đối chiếu Candidate ID từ fixture), kiểm tra tên, Email, Vacancy và Status.
Kết thúc: khôi phục / dọn dẹp fixture theo Test Data; không dùng bản ghi của người khác.</t>
  </si>
  <si>
    <t>1.2</t>
  </si>
  <si>
    <t>RECRUIT_CAND RECRUIT_FLOW Automation</t>
  </si>
  <si>
    <t>Triển khai 50 test case bằng Katalon Studio 11.6; kết quả 1 Pass, 24 Fail, 25 Skipped; bổ sung Test Report và Screenshot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</si>
</sst>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rgb="FF000000"/>
      <name val="Carlito"/>
      <scheme val="minor"/>
    </font>
    <font>
      <b/>
      <sz val="10"/>
      <color rgb="FFFFFFFF"/>
      <name val="Tahoma"/>
    </font>
    <font>
      <sz val="10"/>
      <color rgb="FF172033"/>
      <name val="Tahoma"/>
    </font>
    <font>
      <b/>
      <sz val="16"/>
      <color rgb="FF111111"/>
      <name val="Tahoma"/>
    </font>
    <font>
      <b/>
      <sz val="10"/>
      <color rgb="FF172033"/>
      <name val="Tahoma"/>
    </font>
    <font>
      <sz val="11"/>
      <name val="Carlito"/>
    </font>
    <font>
      <sz val="10"/>
      <color rgb="FF172033"/>
      <name val="Tahoma"/>
      <family val="2"/>
    </font>
    <font>
      <u/>
      <sz val="11"/>
      <color theme="10"/>
      <name val="Carlito"/>
      <scheme val="minor"/>
    </font>
    <font>
      <b/>
      <sz val="16"/>
      <color rgb="FF111111"/>
      <name val="Tahoma"/>
      <family val="2"/>
    </font>
    <font>
      <sz val="11"/>
      <color rgb="FF000000"/>
      <name val="Carlito"/>
    </font>
    <font>
      <sz val="11"/>
      <color theme="10"/>
      <name val="Carlito"/>
    </font>
  </fonts>
  <fills count="6">
    <fill>
      <patternFill patternType="none"/>
    </fill>
    <fill>
      <patternFill patternType="gray125"/>
    </fill>
    <fill>
      <patternFill patternType="solid">
        <fgColor rgb="FF000080"/>
      </patternFill>
    </fill>
    <fill>
      <patternFill patternType="solid">
        <fgColor rgb="FFEAF0F8"/>
      </patternFill>
    </fill>
    <fill>
      <patternFill patternType="solid">
        <fgColor rgb="FFFFF6D5"/>
      </patternFill>
    </fill>
    <fill>
      <patternFill patternType="solid">
        <fgColor rgb="FFF4F7FB"/>
      </patternFill>
    </fill>
  </fills>
  <borders count="8">
    <border>
      <left/>
      <right/>
      <top/>
      <bottom/>
      <diagonal/>
    </border>
    <border>
      <left/>
      <right/>
      <top/>
      <bottom/>
      <diagonal/>
    </border>
    <border>
      <left style="thin">
        <color rgb="FF667085"/>
      </left>
      <right style="thin">
        <color rgb="FF667085"/>
      </right>
      <top style="thin">
        <color rgb="FF667085"/>
      </top>
      <bottom style="thin">
        <color rgb="FF667085"/>
      </bottom>
      <diagonal/>
    </border>
    <border>
      <left/>
      <right style="thin">
        <color rgb="FF667085"/>
      </right>
      <top style="thin">
        <color rgb="FF667085"/>
      </top>
      <bottom style="thin">
        <color rgb="FF66708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667085"/>
      </left>
      <right/>
      <top style="thin">
        <color rgb="FF667085"/>
      </top>
      <bottom style="thin">
        <color rgb="FF667085"/>
      </bottom>
      <diagonal/>
    </border>
    <border>
      <left/>
      <right/>
      <top style="thin">
        <color rgb="FF667085"/>
      </top>
      <bottom style="thin">
        <color rgb="FF667085"/>
      </bottom>
      <diagonal/>
    </border>
  </borders>
  <cellStyleXfs count="5">
    <xf numFmtId="0" fontId="0" fillId="0" borderId="0"/>
    <xf numFmtId="0" fontId="5" fillId="0" borderId="1"/>
    <xf numFmtId="0" fontId="7" fillId="0" borderId="0" applyNumberFormat="0" applyFill="0" applyBorder="0" applyAlignment="0" applyProtection="0"/>
    <xf numFmtId="0" fontId="9" fillId="0" borderId="1"/>
    <xf numFmtId="0" fontId="10" fillId="0" borderId="1" applyNumberFormat="0" applyFill="0" applyBorder="0" applyAlignment="0" applyProtection="0"/>
  </cellStyleXfs>
  <cellXfs count="65">
    <xf numFmtId="0" fontId="0" fillId="0" borderId="0" xfId="0"/>
    <xf numFmtId="0" fontId="2" fillId="0" borderId="0" xfId="0" applyFont="1" applyAlignment="1">
      <alignment vertical="center" wrapText="1"/>
    </xf>
    <xf numFmtId="0" fontId="4" fillId="0" borderId="0" xfId="0" applyFont="1" applyAlignment="1">
      <alignment vertical="center" wrapText="1"/>
    </xf>
    <xf numFmtId="0" fontId="4" fillId="0" borderId="2" xfId="0" applyFont="1" applyBorder="1" applyAlignment="1">
      <alignment vertical="center" wrapText="1"/>
    </xf>
    <xf numFmtId="0" fontId="2" fillId="0" borderId="2" xfId="0" applyFont="1" applyBorder="1" applyAlignment="1">
      <alignment vertical="center" wrapText="1"/>
    </xf>
    <xf numFmtId="14" fontId="2" fillId="0" borderId="2" xfId="0" applyNumberFormat="1" applyFont="1" applyBorder="1" applyAlignment="1">
      <alignment vertical="center" wrapText="1"/>
    </xf>
    <xf numFmtId="0" fontId="1"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top" wrapText="1"/>
    </xf>
    <xf numFmtId="0" fontId="2" fillId="5" borderId="2" xfId="0" applyFont="1" applyFill="1" applyBorder="1" applyAlignment="1">
      <alignment vertical="top" wrapText="1"/>
    </xf>
    <xf numFmtId="0" fontId="4" fillId="3" borderId="2" xfId="0" applyFont="1" applyFill="1" applyBorder="1" applyAlignment="1">
      <alignment vertical="center" wrapText="1"/>
    </xf>
    <xf numFmtId="0" fontId="6" fillId="0" borderId="2" xfId="0" applyFont="1" applyBorder="1" applyAlignment="1">
      <alignment vertical="center" wrapText="1"/>
    </xf>
    <xf numFmtId="0" fontId="2" fillId="0" borderId="1" xfId="0" applyFont="1" applyBorder="1" applyAlignment="1">
      <alignment vertical="center" wrapText="1"/>
    </xf>
    <xf numFmtId="0" fontId="4" fillId="3"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1" fillId="2" borderId="3" xfId="0" applyFont="1" applyFill="1" applyBorder="1" applyAlignment="1">
      <alignment horizontal="center" vertical="center" wrapText="1"/>
    </xf>
    <xf numFmtId="0" fontId="2" fillId="0" borderId="3" xfId="0" applyFont="1" applyBorder="1" applyAlignment="1">
      <alignment vertical="top" wrapText="1"/>
    </xf>
    <xf numFmtId="0" fontId="2" fillId="5" borderId="3" xfId="0" applyFont="1" applyFill="1" applyBorder="1" applyAlignment="1">
      <alignment vertical="top" wrapText="1"/>
    </xf>
    <xf numFmtId="0" fontId="0" fillId="0" borderId="1" xfId="0" applyBorder="1"/>
    <xf numFmtId="0" fontId="2" fillId="0" borderId="4" xfId="0" applyFont="1" applyBorder="1" applyAlignment="1">
      <alignment vertical="center" wrapText="1"/>
    </xf>
    <xf numFmtId="0" fontId="4" fillId="0" borderId="4" xfId="0" applyFont="1" applyBorder="1" applyAlignment="1">
      <alignment vertical="center" wrapText="1"/>
    </xf>
    <xf numFmtId="0" fontId="4"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1" fillId="2" borderId="4" xfId="0" applyFont="1" applyFill="1" applyBorder="1" applyAlignment="1">
      <alignment horizontal="center" vertical="center" wrapText="1"/>
    </xf>
    <xf numFmtId="0" fontId="2" fillId="0" borderId="4" xfId="0" applyFont="1" applyBorder="1" applyAlignment="1">
      <alignment vertical="top" wrapText="1"/>
    </xf>
    <xf numFmtId="0" fontId="2" fillId="5" borderId="4" xfId="0" applyFont="1" applyFill="1" applyBorder="1" applyAlignment="1">
      <alignment vertical="top" wrapText="1"/>
    </xf>
    <xf numFmtId="0" fontId="2" fillId="0" borderId="5" xfId="0" applyFont="1" applyBorder="1" applyAlignment="1">
      <alignment vertical="center" wrapText="1"/>
    </xf>
    <xf numFmtId="0" fontId="7" fillId="0" borderId="2" xfId="2" applyBorder="1" applyAlignment="1">
      <alignment vertical="center" wrapText="1"/>
    </xf>
    <xf numFmtId="0" fontId="6" fillId="0" borderId="2" xfId="0" applyFont="1" applyBorder="1" applyAlignment="1">
      <alignment vertical="top" wrapText="1"/>
    </xf>
    <xf numFmtId="0" fontId="6" fillId="5" borderId="2" xfId="0" applyFont="1" applyFill="1" applyBorder="1" applyAlignment="1">
      <alignment vertical="top" wrapText="1"/>
    </xf>
    <xf numFmtId="14" fontId="2" fillId="0" borderId="2" xfId="0" applyNumberFormat="1" applyFont="1" applyBorder="1" applyAlignment="1">
      <alignment horizontal="left" vertical="center" wrapText="1"/>
    </xf>
    <xf numFmtId="0" fontId="2" fillId="0" borderId="2" xfId="3" applyFont="1" applyBorder="1" applyAlignment="1">
      <alignment horizontal="left" vertical="center" wrapText="1"/>
    </xf>
    <xf numFmtId="14" fontId="2" fillId="4" borderId="2" xfId="3"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6" fillId="0" borderId="2" xfId="0" applyFont="1" applyBorder="1" applyAlignment="1">
      <alignment vertical="center" wrapText="1"/>
    </xf>
    <xf numFmtId="0" fontId="0" fillId="0" borderId="2" xfId="0" applyBorder="1"/>
    <xf numFmtId="0" fontId="6" fillId="0" borderId="3" xfId="0" applyFont="1" applyBorder="1" applyAlignment="1">
      <alignment vertical="center" wrapText="1"/>
    </xf>
    <xf numFmtId="0" fontId="4" fillId="3" borderId="2" xfId="0" applyFont="1" applyFill="1" applyBorder="1" applyAlignment="1">
      <alignment horizontal="center" vertical="center" wrapText="1"/>
    </xf>
    <xf numFmtId="0" fontId="5" fillId="0" borderId="2" xfId="0" applyFont="1" applyBorder="1"/>
    <xf numFmtId="0" fontId="2" fillId="0" borderId="2" xfId="0" applyFont="1" applyBorder="1" applyAlignment="1">
      <alignment horizontal="center"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3"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3" fillId="0" borderId="0" xfId="0" applyFont="1" applyAlignment="1">
      <alignment horizontal="center" vertical="center" wrapText="1"/>
    </xf>
    <xf numFmtId="0" fontId="0" fillId="0" borderId="0" xfId="0"/>
    <xf numFmtId="0" fontId="2" fillId="0" borderId="2" xfId="0" applyFont="1" applyBorder="1" applyAlignment="1">
      <alignment vertical="center" wrapText="1"/>
    </xf>
    <xf numFmtId="0" fontId="4" fillId="0" borderId="2" xfId="0" applyFont="1" applyBorder="1" applyAlignment="1">
      <alignmen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0" xfId="0" applyFont="1" applyAlignment="1">
      <alignment vertical="center" wrapText="1"/>
    </xf>
    <xf numFmtId="0" fontId="8" fillId="0" borderId="0" xfId="0" applyFont="1" applyAlignment="1">
      <alignment horizontal="center" vertical="center" wrapText="1"/>
    </xf>
    <xf numFmtId="0" fontId="0" fillId="0" borderId="7" xfId="0" applyBorder="1" applyAlignment="1">
      <alignment vertical="center" wrapText="1"/>
    </xf>
    <xf numFmtId="0" fontId="0" fillId="0" borderId="3" xfId="0" applyBorder="1" applyAlignment="1">
      <alignment vertical="center" wrapText="1"/>
    </xf>
    <xf numFmtId="0" fontId="2" fillId="4" borderId="2" xfId="0" applyFont="1" applyFill="1" applyBorder="1" applyAlignment="1">
      <alignment vertical="center" wrapText="1"/>
    </xf>
    <xf numFmtId="22" fontId="2" fillId="4" borderId="2" xfId="0" applyNumberFormat="1" applyFont="1" applyFill="1" applyBorder="1" applyAlignment="1">
      <alignment vertical="center" wrapText="1"/>
    </xf>
    <xf numFmtId="0" fontId="4" fillId="3" borderId="2" xfId="0" applyFont="1" applyFill="1" applyBorder="1" applyAlignment="1">
      <alignment vertical="center" wrapText="1"/>
    </xf>
    <xf numFmtId="164" fontId="2" fillId="0" borderId="2" xfId="0" applyNumberFormat="1" applyFont="1" applyBorder="1" applyAlignment="1">
      <alignment vertical="center" wrapText="1"/>
    </xf>
    <xf numFmtId="0" fontId="2" fillId="4" borderId="2" xfId="3" applyFont="1" applyFill="1" applyBorder="1" applyAlignment="1">
      <alignment vertical="top" wrapText="1"/>
    </xf>
    <xf numFmtId="14" fontId="2" fillId="4" borderId="2" xfId="3" applyNumberFormat="1" applyFont="1" applyFill="1" applyBorder="1" applyAlignment="1">
      <alignment vertical="top" wrapText="1"/>
    </xf>
    <xf numFmtId="0" fontId="2" fillId="4" borderId="2" xfId="3" applyFont="1" applyFill="1" applyBorder="1" applyAlignment="1">
      <alignment vertical="top" wrapText="1"/>
    </xf>
    <xf numFmtId="14" fontId="2" fillId="4" borderId="2" xfId="3" applyNumberFormat="1" applyFont="1" applyFill="1" applyBorder="1" applyAlignment="1">
      <alignment vertical="top" wrapText="1"/>
    </xf>
  </cellXfs>
  <cellStyles count="5">
    <cellStyle name="Hyperlink" xfId="2" builtinId="8"/>
    <cellStyle name="Hyperlink 2" xfId="4" xr:uid="{0238528A-F37D-4FD9-878F-68D57738BE03}"/>
    <cellStyle name="Normal" xfId="0" builtinId="0"/>
    <cellStyle name="Normal 2" xfId="1" xr:uid="{BA7E7360-1265-45E6-A2FE-F218883DFA75}"/>
    <cellStyle name="Normal 3" xfId="3" xr:uid="{0F7F3863-1CDF-4818-824C-BDB45FB4C1B1}"/>
  </cellStyles>
  <dxfs count="12">
    <dxf>
      <font>
        <b/>
        <color rgb="FF525E6D"/>
      </font>
      <fill>
        <patternFill>
          <bgColor rgb="FFECEFF3"/>
        </patternFill>
      </fill>
    </dxf>
    <dxf>
      <font>
        <b/>
        <color rgb="FF805A00"/>
      </font>
      <fill>
        <patternFill>
          <bgColor rgb="FFFFF0CE"/>
        </patternFill>
      </fill>
    </dxf>
    <dxf>
      <font>
        <b/>
        <color rgb="FFA52323"/>
      </font>
      <fill>
        <patternFill>
          <bgColor rgb="FFFCE8E6"/>
        </patternFill>
      </fill>
    </dxf>
    <dxf>
      <font>
        <b/>
        <color rgb="FF20603A"/>
      </font>
      <fill>
        <patternFill>
          <bgColor rgb="FFE7F2E8"/>
        </patternFill>
      </fill>
    </dxf>
    <dxf>
      <font>
        <b/>
        <color rgb="FF525E6D"/>
      </font>
      <fill>
        <patternFill>
          <bgColor rgb="FFECEFF3"/>
        </patternFill>
      </fill>
    </dxf>
    <dxf>
      <font>
        <b/>
        <color rgb="FF805A00"/>
      </font>
      <fill>
        <patternFill>
          <bgColor rgb="FFFFF0CE"/>
        </patternFill>
      </fill>
    </dxf>
    <dxf>
      <font>
        <b/>
        <color rgb="FFA52323"/>
      </font>
      <fill>
        <patternFill>
          <bgColor rgb="FFFCE8E6"/>
        </patternFill>
      </fill>
    </dxf>
    <dxf>
      <font>
        <b/>
        <color rgb="FF20603A"/>
      </font>
      <fill>
        <patternFill>
          <bgColor rgb="FFE7F2E8"/>
        </patternFill>
      </fill>
    </dxf>
    <dxf>
      <font>
        <b/>
        <color rgb="FF525E6D"/>
      </font>
      <fill>
        <patternFill>
          <bgColor rgb="FFECEFF3"/>
        </patternFill>
      </fill>
    </dxf>
    <dxf>
      <font>
        <b/>
        <color rgb="FF805A00"/>
      </font>
      <fill>
        <patternFill>
          <bgColor rgb="FFFFF0CE"/>
        </patternFill>
      </fill>
    </dxf>
    <dxf>
      <font>
        <b/>
        <color rgb="FFA52323"/>
      </font>
      <fill>
        <patternFill>
          <bgColor rgb="FFFCE8E6"/>
        </patternFill>
      </fill>
    </dxf>
    <dxf>
      <font>
        <b/>
        <color rgb="FF20603A"/>
      </font>
      <fill>
        <patternFill>
          <bgColor rgb="FFE7F2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s://help.orangehrm.com/hc/en-us/articles/10457315002777-How-To-Add-Candidates-To-Created-Vacancies" TargetMode="External"/><Relationship Id="rId2" Type="http://schemas.openxmlformats.org/officeDocument/2006/relationships/hyperlink" Target="https://help.orangehrm.com/hc/en-us/articles/18264958234649-How-to-Create-a-New-Vacancy-in-OrangeHRM" TargetMode="External"/><Relationship Id="rId1" Type="http://schemas.openxmlformats.org/officeDocument/2006/relationships/hyperlink" Target="https://opensource-demo.orangehrmlive.com/" TargetMode="External"/><Relationship Id="rId6" Type="http://schemas.openxmlformats.org/officeDocument/2006/relationships/hyperlink" Target="https://www.orangehrm.com/assets/Files/Advanced-Recruitment-User-Guide.pdf" TargetMode="External"/><Relationship Id="rId5" Type="http://schemas.openxmlformats.org/officeDocument/2006/relationships/hyperlink" Target="https://help.orangehrm.com/hc/en-us/articles/35482924971673-Usability-Improvements-in-Recruitment-Module" TargetMode="External"/><Relationship Id="rId4" Type="http://schemas.openxmlformats.org/officeDocument/2006/relationships/hyperlink" Target="https://help.orangehrm.com/hc/en-us/articles/10876907600153-How-to-View-and-Manage-a-Candidate-Prof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001"/>
  <sheetViews>
    <sheetView showGridLines="0" workbookViewId="0">
      <selection activeCell="G14" sqref="G14"/>
    </sheetView>
  </sheetViews>
  <sheetFormatPr defaultColWidth="12.59765625" defaultRowHeight="13.8"/>
  <cols>
    <col min="1" max="1" width="3" customWidth="1"/>
    <col min="2" max="2" width="22" customWidth="1"/>
    <col min="3" max="4" width="20" customWidth="1"/>
    <col min="5" max="5" width="15" customWidth="1"/>
    <col min="6" max="6" width="24" customWidth="1"/>
    <col min="7" max="7" width="34" customWidth="1"/>
    <col min="8" max="8" width="12" customWidth="1"/>
    <col min="9" max="26" width="8.59765625" customWidth="1"/>
  </cols>
  <sheetData>
    <row r="2" spans="2:8" ht="42" customHeight="1">
      <c r="B2" s="46" t="s">
        <v>0</v>
      </c>
      <c r="C2" s="47"/>
      <c r="D2" s="47"/>
      <c r="E2" s="47"/>
      <c r="F2" s="47"/>
      <c r="G2" s="47"/>
      <c r="H2" s="1"/>
    </row>
    <row r="3" spans="2:8">
      <c r="B3" s="1"/>
      <c r="C3" s="1"/>
      <c r="D3" s="1"/>
      <c r="E3" s="1"/>
      <c r="F3" s="1"/>
      <c r="G3" s="1"/>
      <c r="H3" s="1"/>
    </row>
    <row r="4" spans="2:8">
      <c r="B4" s="3" t="s">
        <v>1</v>
      </c>
      <c r="C4" s="48" t="s">
        <v>89</v>
      </c>
      <c r="D4" s="39"/>
      <c r="E4" s="39"/>
      <c r="F4" s="3" t="s">
        <v>2</v>
      </c>
      <c r="G4" s="4" t="s">
        <v>84</v>
      </c>
      <c r="H4" s="1"/>
    </row>
    <row r="5" spans="2:8" ht="34.049999999999997" customHeight="1">
      <c r="B5" s="3" t="s">
        <v>3</v>
      </c>
      <c r="C5" s="48" t="s">
        <v>4</v>
      </c>
      <c r="D5" s="39"/>
      <c r="E5" s="39"/>
      <c r="F5" s="3" t="s">
        <v>5</v>
      </c>
      <c r="G5" s="4" t="s">
        <v>593</v>
      </c>
      <c r="H5" s="1"/>
    </row>
    <row r="6" spans="2:8">
      <c r="B6" s="49" t="s">
        <v>6</v>
      </c>
      <c r="C6" s="48" t="s">
        <v>88</v>
      </c>
      <c r="D6" s="39"/>
      <c r="E6" s="39"/>
      <c r="F6" s="3" t="s">
        <v>7</v>
      </c>
      <c r="G6" s="31">
        <v>46313</v>
      </c>
      <c r="H6" s="1"/>
    </row>
    <row r="7" spans="2:8">
      <c r="B7" s="39"/>
      <c r="C7" s="39"/>
      <c r="D7" s="39"/>
      <c r="E7" s="39"/>
      <c r="F7" s="3" t="s">
        <v>8</v>
      </c>
      <c r="G7" s="4" t="s">
        <v>9</v>
      </c>
      <c r="H7" s="1"/>
    </row>
    <row r="8" spans="2:8">
      <c r="B8" s="1"/>
      <c r="C8" s="1"/>
      <c r="D8" s="1"/>
      <c r="E8" s="1"/>
      <c r="F8" s="1"/>
      <c r="G8" s="1"/>
      <c r="H8" s="1"/>
    </row>
    <row r="9" spans="2:8">
      <c r="B9" s="1"/>
      <c r="C9" s="1"/>
      <c r="D9" s="1"/>
      <c r="E9" s="1"/>
      <c r="F9" s="1"/>
      <c r="G9" s="1"/>
      <c r="H9" s="1"/>
    </row>
    <row r="10" spans="2:8">
      <c r="B10" s="2" t="s">
        <v>10</v>
      </c>
      <c r="C10" s="1"/>
      <c r="D10" s="1"/>
      <c r="E10" s="1"/>
      <c r="F10" s="1"/>
      <c r="G10" s="1"/>
      <c r="H10" s="1"/>
    </row>
    <row r="11" spans="2:8" ht="45.75" customHeight="1">
      <c r="B11" s="6" t="s">
        <v>11</v>
      </c>
      <c r="C11" s="6" t="s">
        <v>8</v>
      </c>
      <c r="D11" s="6" t="s">
        <v>12</v>
      </c>
      <c r="E11" s="6" t="s">
        <v>13</v>
      </c>
      <c r="F11" s="6" t="s">
        <v>14</v>
      </c>
      <c r="G11" s="6" t="s">
        <v>15</v>
      </c>
      <c r="H11" s="1"/>
    </row>
    <row r="12" spans="2:8" ht="45.75" customHeight="1">
      <c r="B12" s="5">
        <v>46313</v>
      </c>
      <c r="C12" s="4" t="s">
        <v>9</v>
      </c>
      <c r="D12" s="4" t="s">
        <v>86</v>
      </c>
      <c r="E12" s="4" t="s">
        <v>16</v>
      </c>
      <c r="F12" s="4" t="s">
        <v>87</v>
      </c>
      <c r="G12" s="4" t="s">
        <v>17</v>
      </c>
      <c r="H12" s="1"/>
    </row>
    <row r="13" spans="2:8" ht="65.400000000000006" customHeight="1">
      <c r="B13" s="5">
        <v>46318</v>
      </c>
      <c r="C13" s="4" t="s">
        <v>661</v>
      </c>
      <c r="D13" s="4" t="s">
        <v>663</v>
      </c>
      <c r="E13" s="4" t="s">
        <v>664</v>
      </c>
      <c r="F13" s="4" t="s">
        <v>662</v>
      </c>
      <c r="G13" s="4" t="s">
        <v>17</v>
      </c>
      <c r="H13" s="1"/>
    </row>
    <row r="14" spans="2:8" ht="73.2" customHeight="1">
      <c r="B14" s="5">
        <v>46325</v>
      </c>
      <c r="C14" s="4" t="s">
        <v>695</v>
      </c>
      <c r="D14" s="4" t="s">
        <v>696</v>
      </c>
      <c r="E14" s="4" t="s">
        <v>664</v>
      </c>
      <c r="F14" s="4" t="s">
        <v>697</v>
      </c>
      <c r="G14" s="4" t="s">
        <v>17</v>
      </c>
      <c r="H14" s="1"/>
    </row>
    <row r="15" spans="2:8">
      <c r="B15" s="1"/>
      <c r="C15" s="1"/>
      <c r="D15" s="1"/>
      <c r="E15" s="1"/>
      <c r="F15" s="1"/>
      <c r="G15" s="1"/>
      <c r="H15" s="1"/>
    </row>
    <row r="16" spans="2:8" ht="24.75" customHeight="1">
      <c r="B16" s="3" t="s">
        <v>18</v>
      </c>
      <c r="C16" s="50">
        <v>23130299</v>
      </c>
      <c r="D16" s="51"/>
      <c r="E16" s="51"/>
      <c r="F16" s="51"/>
      <c r="G16" s="52"/>
      <c r="H16" s="1"/>
    </row>
    <row r="17" spans="2:8" ht="24.75" customHeight="1">
      <c r="B17" s="3" t="s">
        <v>19</v>
      </c>
      <c r="C17" s="41" t="s">
        <v>20</v>
      </c>
      <c r="D17" s="42"/>
      <c r="E17" s="42"/>
      <c r="F17" s="42"/>
      <c r="G17" s="43"/>
      <c r="H17" s="1"/>
    </row>
    <row r="18" spans="2:8" ht="24.75" customHeight="1">
      <c r="B18" s="3" t="s">
        <v>21</v>
      </c>
      <c r="C18" s="41" t="s">
        <v>85</v>
      </c>
      <c r="D18" s="42"/>
      <c r="E18" s="42"/>
      <c r="F18" s="42"/>
      <c r="G18" s="43"/>
      <c r="H18" s="1"/>
    </row>
    <row r="19" spans="2:8" ht="24.75" customHeight="1">
      <c r="B19" s="3" t="s">
        <v>22</v>
      </c>
      <c r="C19" s="41" t="s">
        <v>23</v>
      </c>
      <c r="D19" s="42"/>
      <c r="E19" s="42"/>
      <c r="F19" s="42"/>
      <c r="G19" s="43"/>
      <c r="H19" s="1"/>
    </row>
    <row r="20" spans="2:8" ht="36" customHeight="1">
      <c r="B20" s="3" t="s">
        <v>24</v>
      </c>
      <c r="C20" s="41" t="s">
        <v>624</v>
      </c>
      <c r="D20" s="42"/>
      <c r="E20" s="42"/>
      <c r="F20" s="42"/>
      <c r="G20" s="43"/>
      <c r="H20" s="1"/>
    </row>
    <row r="21" spans="2:8" ht="24.75" customHeight="1">
      <c r="B21" s="3" t="s">
        <v>25</v>
      </c>
      <c r="C21" s="44" t="s">
        <v>90</v>
      </c>
      <c r="D21" s="45"/>
      <c r="E21" s="45"/>
      <c r="F21" s="45"/>
      <c r="G21" s="37"/>
      <c r="H21" s="1"/>
    </row>
    <row r="22" spans="2:8" ht="15.75" customHeight="1">
      <c r="B22" s="1"/>
      <c r="C22" s="1"/>
      <c r="D22" s="1"/>
      <c r="E22" s="1"/>
      <c r="F22" s="1"/>
      <c r="G22" s="1"/>
      <c r="H22" s="1"/>
    </row>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1">
    <mergeCell ref="C18:G18"/>
    <mergeCell ref="C19:G19"/>
    <mergeCell ref="C20:G20"/>
    <mergeCell ref="C21:G21"/>
    <mergeCell ref="B2:G2"/>
    <mergeCell ref="C4:E4"/>
    <mergeCell ref="C5:E5"/>
    <mergeCell ref="B6:B7"/>
    <mergeCell ref="C6:E7"/>
    <mergeCell ref="C16:G16"/>
    <mergeCell ref="C17:G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000"/>
  <sheetViews>
    <sheetView showGridLines="0" workbookViewId="0">
      <pane ySplit="8" topLeftCell="A9" activePane="bottomLeft" state="frozen"/>
      <selection pane="bottomLeft" activeCell="D9" sqref="D9"/>
    </sheetView>
  </sheetViews>
  <sheetFormatPr defaultColWidth="12.59765625" defaultRowHeight="13.8"/>
  <cols>
    <col min="1" max="1" width="3" customWidth="1"/>
    <col min="2" max="2" width="7" customWidth="1"/>
    <col min="3" max="3" width="30" customWidth="1"/>
    <col min="4" max="4" width="24" customWidth="1"/>
    <col min="5" max="5" width="48" customWidth="1"/>
    <col min="6" max="6" width="45" customWidth="1"/>
    <col min="7" max="8" width="10" customWidth="1"/>
    <col min="9" max="26" width="8.59765625" customWidth="1"/>
  </cols>
  <sheetData>
    <row r="2" spans="2:8" ht="42" customHeight="1">
      <c r="B2" s="54" t="s">
        <v>26</v>
      </c>
      <c r="C2" s="47"/>
      <c r="D2" s="47"/>
      <c r="E2" s="47"/>
      <c r="F2" s="47"/>
      <c r="G2" s="1"/>
      <c r="H2" s="1"/>
    </row>
    <row r="3" spans="2:8">
      <c r="B3" s="1"/>
      <c r="C3" s="1"/>
      <c r="D3" s="1"/>
      <c r="E3" s="1"/>
      <c r="F3" s="1"/>
      <c r="G3" s="1"/>
      <c r="H3" s="1"/>
    </row>
    <row r="4" spans="2:8">
      <c r="B4" s="48" t="s">
        <v>1</v>
      </c>
      <c r="C4" s="36"/>
      <c r="D4" s="48" t="str">
        <f>Cover!C4</f>
        <v>OrangeHRM Recruitment</v>
      </c>
      <c r="E4" s="36"/>
      <c r="F4" s="36"/>
      <c r="G4" s="1"/>
      <c r="H4" s="1"/>
    </row>
    <row r="5" spans="2:8">
      <c r="B5" s="48" t="s">
        <v>3</v>
      </c>
      <c r="C5" s="36"/>
      <c r="D5" s="48" t="str">
        <f>Cover!C5</f>
        <v>Group01_OrangeHRM</v>
      </c>
      <c r="E5" s="36"/>
      <c r="F5" s="36"/>
      <c r="G5" s="1"/>
      <c r="H5" s="1"/>
    </row>
    <row r="6" spans="2:8" ht="48" customHeight="1">
      <c r="B6" s="35" t="s">
        <v>27</v>
      </c>
      <c r="C6" s="36"/>
      <c r="D6" s="44" t="s">
        <v>625</v>
      </c>
      <c r="E6" s="55"/>
      <c r="F6" s="56"/>
      <c r="G6" s="1"/>
      <c r="H6" s="1"/>
    </row>
    <row r="7" spans="2:8">
      <c r="B7" s="1"/>
      <c r="C7" s="1"/>
      <c r="D7" s="1"/>
      <c r="E7" s="1"/>
      <c r="F7" s="1"/>
      <c r="G7" s="1"/>
      <c r="H7" s="1"/>
    </row>
    <row r="8" spans="2:8">
      <c r="B8" s="6" t="s">
        <v>28</v>
      </c>
      <c r="C8" s="6" t="s">
        <v>29</v>
      </c>
      <c r="D8" s="6" t="s">
        <v>30</v>
      </c>
      <c r="E8" s="6" t="s">
        <v>31</v>
      </c>
      <c r="F8" s="6" t="s">
        <v>32</v>
      </c>
      <c r="G8" s="1"/>
      <c r="H8" s="1"/>
    </row>
    <row r="9" spans="2:8" ht="73.5" customHeight="1">
      <c r="B9" s="4">
        <v>1</v>
      </c>
      <c r="C9" s="4" t="s">
        <v>91</v>
      </c>
      <c r="D9" s="4" t="s">
        <v>94</v>
      </c>
      <c r="E9" s="4" t="s">
        <v>95</v>
      </c>
      <c r="F9" s="4" t="s">
        <v>98</v>
      </c>
      <c r="G9" s="1"/>
      <c r="H9" s="1"/>
    </row>
    <row r="10" spans="2:8" ht="73.5" customHeight="1">
      <c r="B10" s="4">
        <v>2</v>
      </c>
      <c r="C10" s="4" t="s">
        <v>92</v>
      </c>
      <c r="D10" s="4" t="s">
        <v>114</v>
      </c>
      <c r="E10" s="4" t="s">
        <v>96</v>
      </c>
      <c r="F10" s="4" t="s">
        <v>99</v>
      </c>
      <c r="G10" s="1"/>
      <c r="H10" s="1"/>
    </row>
    <row r="11" spans="2:8" ht="73.5" customHeight="1">
      <c r="B11" s="4">
        <v>3</v>
      </c>
      <c r="C11" s="12" t="s">
        <v>93</v>
      </c>
      <c r="D11" s="4" t="s">
        <v>126</v>
      </c>
      <c r="E11" s="4" t="s">
        <v>97</v>
      </c>
      <c r="F11" s="4" t="s">
        <v>100</v>
      </c>
      <c r="G11" s="1"/>
      <c r="H11" s="1"/>
    </row>
    <row r="12" spans="2:8">
      <c r="B12" s="1"/>
      <c r="C12" s="1"/>
      <c r="D12" s="1"/>
      <c r="E12" s="1"/>
      <c r="F12" s="1"/>
      <c r="G12" s="1"/>
      <c r="H12" s="1"/>
    </row>
    <row r="13" spans="2:8">
      <c r="B13" s="1"/>
      <c r="C13" s="1"/>
      <c r="D13" s="1"/>
      <c r="E13" s="1"/>
      <c r="F13" s="1"/>
      <c r="G13" s="1"/>
      <c r="H13" s="1"/>
    </row>
    <row r="14" spans="2:8" ht="37.5" customHeight="1">
      <c r="B14" s="53"/>
      <c r="C14" s="47"/>
      <c r="D14" s="47"/>
      <c r="E14" s="47"/>
      <c r="F14" s="47"/>
      <c r="G14" s="1"/>
      <c r="H14" s="1"/>
    </row>
    <row r="15" spans="2:8">
      <c r="B15" s="1"/>
      <c r="C15" s="1"/>
      <c r="D15" s="1"/>
      <c r="E15" s="1"/>
      <c r="F15" s="1"/>
      <c r="G15" s="1"/>
      <c r="H15" s="1"/>
    </row>
    <row r="16" spans="2:8" ht="39.75" customHeight="1">
      <c r="B16" s="53"/>
      <c r="C16" s="47"/>
      <c r="D16" s="47"/>
      <c r="E16" s="47"/>
      <c r="F16" s="47"/>
      <c r="G16" s="1"/>
      <c r="H16" s="1"/>
    </row>
    <row r="17" spans="2:8">
      <c r="B17" s="1"/>
      <c r="C17" s="1"/>
      <c r="D17" s="1"/>
      <c r="E17" s="1"/>
      <c r="F17" s="1"/>
      <c r="G17" s="1"/>
      <c r="H17" s="1"/>
    </row>
    <row r="18" spans="2:8">
      <c r="B18" s="1"/>
      <c r="C18" s="1"/>
      <c r="D18" s="1"/>
      <c r="E18" s="1"/>
      <c r="F18" s="1"/>
      <c r="G18" s="1"/>
      <c r="H18" s="1"/>
    </row>
    <row r="21" spans="2:8" ht="15.75" customHeight="1"/>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4:F14"/>
    <mergeCell ref="B16:F16"/>
    <mergeCell ref="B2:F2"/>
    <mergeCell ref="B4:C4"/>
    <mergeCell ref="D4:F4"/>
    <mergeCell ref="B5:C5"/>
    <mergeCell ref="D5:F5"/>
    <mergeCell ref="B6:C6"/>
    <mergeCell ref="D6: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showGridLines="0" zoomScale="61" zoomScaleNormal="61" workbookViewId="0">
      <pane ySplit="1" topLeftCell="A2" activePane="bottomLeft" state="frozen"/>
      <selection pane="bottomLeft" activeCell="F2" sqref="F2"/>
    </sheetView>
  </sheetViews>
  <sheetFormatPr defaultColWidth="12.59765625" defaultRowHeight="13.8"/>
  <cols>
    <col min="1" max="1" width="18" customWidth="1"/>
    <col min="2" max="2" width="29" customWidth="1"/>
    <col min="3" max="3" width="33" customWidth="1"/>
    <col min="4" max="4" width="68" customWidth="1"/>
    <col min="5" max="5" width="27" customWidth="1"/>
    <col min="6" max="6" width="76" customWidth="1"/>
    <col min="7" max="26" width="8.59765625" customWidth="1"/>
  </cols>
  <sheetData>
    <row r="1" spans="1:8" ht="30" customHeight="1">
      <c r="A1" s="6" t="s">
        <v>33</v>
      </c>
      <c r="B1" s="6" t="s">
        <v>34</v>
      </c>
      <c r="C1" s="6" t="s">
        <v>35</v>
      </c>
      <c r="D1" s="6" t="s">
        <v>36</v>
      </c>
      <c r="E1" s="6" t="s">
        <v>37</v>
      </c>
      <c r="F1" s="6" t="s">
        <v>38</v>
      </c>
      <c r="G1" s="1"/>
      <c r="H1" s="1"/>
    </row>
    <row r="2" spans="1:8" ht="73.5" customHeight="1">
      <c r="A2" s="12" t="s">
        <v>94</v>
      </c>
      <c r="B2" s="4" t="s">
        <v>91</v>
      </c>
      <c r="C2" s="4" t="s">
        <v>101</v>
      </c>
      <c r="D2" s="4" t="s">
        <v>102</v>
      </c>
      <c r="E2" s="4" t="s">
        <v>103</v>
      </c>
      <c r="F2" s="4" t="s">
        <v>609</v>
      </c>
      <c r="G2" s="1"/>
      <c r="H2" s="1"/>
    </row>
    <row r="3" spans="1:8" ht="138" customHeight="1">
      <c r="A3" s="4" t="s">
        <v>94</v>
      </c>
      <c r="B3" s="4" t="s">
        <v>91</v>
      </c>
      <c r="C3" s="4" t="s">
        <v>104</v>
      </c>
      <c r="D3" s="4" t="s">
        <v>105</v>
      </c>
      <c r="E3" s="4" t="s">
        <v>40</v>
      </c>
      <c r="F3" s="4" t="s">
        <v>610</v>
      </c>
      <c r="G3" s="1"/>
      <c r="H3" s="1"/>
    </row>
    <row r="4" spans="1:8" ht="73.5" customHeight="1">
      <c r="A4" s="4" t="s">
        <v>94</v>
      </c>
      <c r="B4" s="4" t="s">
        <v>91</v>
      </c>
      <c r="C4" s="4" t="s">
        <v>106</v>
      </c>
      <c r="D4" s="4" t="s">
        <v>107</v>
      </c>
      <c r="E4" s="4" t="s">
        <v>108</v>
      </c>
      <c r="F4" s="4" t="s">
        <v>611</v>
      </c>
      <c r="G4" s="1"/>
      <c r="H4" s="1"/>
    </row>
    <row r="5" spans="1:8" ht="78" customHeight="1">
      <c r="A5" s="4" t="s">
        <v>94</v>
      </c>
      <c r="B5" s="4" t="s">
        <v>91</v>
      </c>
      <c r="C5" s="4" t="s">
        <v>109</v>
      </c>
      <c r="D5" s="4" t="s">
        <v>110</v>
      </c>
      <c r="E5" s="4" t="s">
        <v>111</v>
      </c>
      <c r="F5" s="4" t="s">
        <v>612</v>
      </c>
      <c r="G5" s="1"/>
      <c r="H5" s="1"/>
    </row>
    <row r="6" spans="1:8" ht="102" customHeight="1">
      <c r="A6" s="4" t="s">
        <v>94</v>
      </c>
      <c r="B6" s="4" t="s">
        <v>91</v>
      </c>
      <c r="C6" s="4" t="s">
        <v>112</v>
      </c>
      <c r="D6" s="4" t="s">
        <v>113</v>
      </c>
      <c r="E6" s="4" t="s">
        <v>108</v>
      </c>
      <c r="F6" s="4" t="s">
        <v>613</v>
      </c>
      <c r="G6" s="1"/>
      <c r="H6" s="1"/>
    </row>
    <row r="7" spans="1:8" ht="78" customHeight="1">
      <c r="A7" s="12" t="s">
        <v>114</v>
      </c>
      <c r="B7" s="4" t="s">
        <v>92</v>
      </c>
      <c r="C7" s="4" t="s">
        <v>115</v>
      </c>
      <c r="D7" s="4" t="s">
        <v>116</v>
      </c>
      <c r="E7" s="4" t="s">
        <v>39</v>
      </c>
      <c r="F7" s="4" t="s">
        <v>614</v>
      </c>
      <c r="G7" s="1"/>
      <c r="H7" s="1"/>
    </row>
    <row r="8" spans="1:8" ht="102" customHeight="1">
      <c r="A8" s="4" t="s">
        <v>114</v>
      </c>
      <c r="B8" s="4" t="s">
        <v>92</v>
      </c>
      <c r="C8" s="4" t="s">
        <v>117</v>
      </c>
      <c r="D8" s="4" t="s">
        <v>118</v>
      </c>
      <c r="E8" s="4" t="s">
        <v>39</v>
      </c>
      <c r="F8" s="4" t="s">
        <v>615</v>
      </c>
      <c r="G8" s="1"/>
      <c r="H8" s="1"/>
    </row>
    <row r="9" spans="1:8" ht="102" customHeight="1">
      <c r="A9" s="4" t="s">
        <v>114</v>
      </c>
      <c r="B9" s="4" t="s">
        <v>92</v>
      </c>
      <c r="C9" s="4" t="s">
        <v>119</v>
      </c>
      <c r="D9" s="4" t="s">
        <v>120</v>
      </c>
      <c r="E9" s="4" t="s">
        <v>121</v>
      </c>
      <c r="F9" s="4" t="s">
        <v>616</v>
      </c>
      <c r="G9" s="1"/>
      <c r="H9" s="1"/>
    </row>
    <row r="10" spans="1:8" ht="78" customHeight="1">
      <c r="A10" s="4" t="s">
        <v>114</v>
      </c>
      <c r="B10" s="4" t="s">
        <v>92</v>
      </c>
      <c r="C10" s="4" t="s">
        <v>122</v>
      </c>
      <c r="D10" s="4" t="s">
        <v>123</v>
      </c>
      <c r="E10" s="4" t="s">
        <v>111</v>
      </c>
      <c r="F10" s="4" t="s">
        <v>617</v>
      </c>
      <c r="G10" s="1"/>
      <c r="H10" s="1"/>
    </row>
    <row r="11" spans="1:8" ht="90" customHeight="1">
      <c r="A11" s="4" t="s">
        <v>114</v>
      </c>
      <c r="B11" s="4" t="s">
        <v>92</v>
      </c>
      <c r="C11" s="4" t="s">
        <v>124</v>
      </c>
      <c r="D11" s="4" t="s">
        <v>125</v>
      </c>
      <c r="E11" s="4" t="s">
        <v>108</v>
      </c>
      <c r="F11" s="4" t="s">
        <v>618</v>
      </c>
      <c r="G11" s="1"/>
      <c r="H11" s="1"/>
    </row>
    <row r="12" spans="1:8" ht="73.5" customHeight="1">
      <c r="A12" s="12" t="s">
        <v>126</v>
      </c>
      <c r="B12" s="4" t="s">
        <v>93</v>
      </c>
      <c r="C12" s="4" t="s">
        <v>127</v>
      </c>
      <c r="D12" s="4" t="s">
        <v>128</v>
      </c>
      <c r="E12" s="4" t="s">
        <v>108</v>
      </c>
      <c r="F12" s="4" t="s">
        <v>619</v>
      </c>
      <c r="G12" s="1"/>
      <c r="H12" s="1"/>
    </row>
    <row r="13" spans="1:8" ht="102" customHeight="1">
      <c r="A13" s="4" t="s">
        <v>126</v>
      </c>
      <c r="B13" s="4" t="s">
        <v>93</v>
      </c>
      <c r="C13" s="4" t="s">
        <v>129</v>
      </c>
      <c r="D13" s="4" t="s">
        <v>130</v>
      </c>
      <c r="E13" s="4" t="s">
        <v>131</v>
      </c>
      <c r="F13" s="4" t="s">
        <v>620</v>
      </c>
      <c r="G13" s="1"/>
      <c r="H13" s="1"/>
    </row>
    <row r="14" spans="1:8" ht="73.5" customHeight="1">
      <c r="A14" s="4" t="s">
        <v>126</v>
      </c>
      <c r="B14" s="4" t="s">
        <v>93</v>
      </c>
      <c r="C14" s="4" t="s">
        <v>132</v>
      </c>
      <c r="D14" s="4" t="s">
        <v>133</v>
      </c>
      <c r="E14" s="4" t="s">
        <v>134</v>
      </c>
      <c r="F14" s="4" t="s">
        <v>621</v>
      </c>
      <c r="G14" s="1"/>
      <c r="H14" s="1"/>
    </row>
    <row r="15" spans="1:8" ht="90" customHeight="1">
      <c r="A15" s="4" t="s">
        <v>126</v>
      </c>
      <c r="B15" s="4" t="s">
        <v>93</v>
      </c>
      <c r="C15" s="4" t="s">
        <v>135</v>
      </c>
      <c r="D15" s="4" t="s">
        <v>136</v>
      </c>
      <c r="E15" s="4" t="s">
        <v>108</v>
      </c>
      <c r="F15" s="4" t="s">
        <v>622</v>
      </c>
      <c r="G15" s="1"/>
      <c r="H15" s="1"/>
    </row>
    <row r="16" spans="1:8" ht="138" customHeight="1">
      <c r="A16" s="4" t="s">
        <v>126</v>
      </c>
      <c r="B16" s="4" t="s">
        <v>93</v>
      </c>
      <c r="C16" s="4" t="s">
        <v>137</v>
      </c>
      <c r="D16" s="4" t="s">
        <v>138</v>
      </c>
      <c r="E16" s="4" t="s">
        <v>108</v>
      </c>
      <c r="F16" s="4" t="s">
        <v>623</v>
      </c>
      <c r="G16" s="1"/>
      <c r="H16" s="1"/>
    </row>
    <row r="17" spans="1:8">
      <c r="A17" s="1"/>
      <c r="B17" s="1"/>
      <c r="C17" s="1"/>
      <c r="D17" s="1"/>
      <c r="E17" s="1"/>
      <c r="F17" s="1"/>
      <c r="G17" s="1"/>
      <c r="H17" s="1"/>
    </row>
    <row r="21" spans="1:8" ht="15.75" customHeight="1"/>
    <row r="22" spans="1:8" ht="15.75" customHeight="1"/>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H1000"/>
  <sheetViews>
    <sheetView showGridLines="0" zoomScale="55" zoomScaleNormal="55" workbookViewId="0">
      <pane xSplit="1" ySplit="8" topLeftCell="B29" activePane="bottomRight" state="frozen"/>
      <selection pane="topRight"/>
      <selection pane="bottomLeft"/>
      <selection pane="bottomRight" activeCell="A29" sqref="A29"/>
    </sheetView>
  </sheetViews>
  <sheetFormatPr defaultColWidth="12.59765625" defaultRowHeight="13.8"/>
  <cols>
    <col min="1" max="1" width="25" customWidth="1"/>
    <col min="2" max="2" width="36" customWidth="1"/>
    <col min="3" max="3" width="72" customWidth="1"/>
    <col min="4" max="4" width="65" customWidth="1"/>
    <col min="5" max="5" width="24" customWidth="1"/>
    <col min="6" max="6" width="14" customWidth="1"/>
    <col min="7" max="7" width="15" customWidth="1"/>
    <col min="8" max="8" width="40" customWidth="1"/>
    <col min="9" max="26" width="8.59765625" customWidth="1"/>
  </cols>
  <sheetData>
    <row r="1" spans="1:8">
      <c r="A1" s="1"/>
      <c r="B1" s="1"/>
      <c r="C1" s="1"/>
      <c r="D1" s="1"/>
      <c r="E1" s="1"/>
      <c r="F1" s="1"/>
      <c r="G1" s="1"/>
      <c r="H1" s="1"/>
    </row>
    <row r="2" spans="1:8">
      <c r="A2" s="3" t="s">
        <v>41</v>
      </c>
      <c r="B2" s="35" t="s">
        <v>94</v>
      </c>
      <c r="C2" s="36"/>
      <c r="D2" s="36"/>
      <c r="E2" s="36"/>
      <c r="F2" s="36"/>
      <c r="G2" s="36"/>
      <c r="H2" s="36"/>
    </row>
    <row r="3" spans="1:8">
      <c r="A3" s="3" t="s">
        <v>42</v>
      </c>
      <c r="B3" s="35" t="s">
        <v>91</v>
      </c>
      <c r="C3" s="36"/>
      <c r="D3" s="36"/>
      <c r="E3" s="36"/>
      <c r="F3" s="36"/>
      <c r="G3" s="36"/>
      <c r="H3" s="36"/>
    </row>
    <row r="4" spans="1:8">
      <c r="A4" s="3" t="s">
        <v>43</v>
      </c>
      <c r="B4" s="35" t="s">
        <v>139</v>
      </c>
      <c r="C4" s="36"/>
      <c r="D4" s="36"/>
      <c r="E4" s="36"/>
      <c r="F4" s="36"/>
      <c r="G4" s="36"/>
      <c r="H4" s="36"/>
    </row>
    <row r="5" spans="1:8" ht="24" customHeight="1">
      <c r="A5" s="7" t="s">
        <v>44</v>
      </c>
      <c r="B5" s="7" t="s">
        <v>45</v>
      </c>
      <c r="C5" s="7" t="s">
        <v>46</v>
      </c>
      <c r="D5" s="7" t="s">
        <v>47</v>
      </c>
      <c r="E5" s="7" t="s">
        <v>48</v>
      </c>
      <c r="F5" s="38" t="s">
        <v>49</v>
      </c>
      <c r="G5" s="39"/>
      <c r="H5" s="39"/>
    </row>
    <row r="6" spans="1:8" ht="24" customHeight="1">
      <c r="A6" s="8">
        <f>COUNTIF($F$9:$F$33,"Passed")</f>
        <v>23</v>
      </c>
      <c r="B6" s="8">
        <f>COUNTIF($F$9:$F$33,"Failed")</f>
        <v>2</v>
      </c>
      <c r="C6" s="8">
        <f>COUNTIF($F$9:$F$33,"Untested")</f>
        <v>0</v>
      </c>
      <c r="D6" s="8">
        <f>COUNTIF($F$9:$F$33,"Blocked")</f>
        <v>0</v>
      </c>
      <c r="E6" s="8">
        <f>COUNTIF($F$9:$F$33,"Skipped")</f>
        <v>0</v>
      </c>
      <c r="F6" s="40">
        <f>COUNTA(A9:A33)</f>
        <v>25</v>
      </c>
      <c r="G6" s="36"/>
      <c r="H6" s="36"/>
    </row>
    <row r="7" spans="1:8">
      <c r="A7" s="1"/>
      <c r="B7" s="1"/>
      <c r="C7" s="1"/>
      <c r="D7" s="1"/>
      <c r="E7" s="1"/>
      <c r="F7" s="1"/>
      <c r="G7" s="1"/>
      <c r="H7" s="1"/>
    </row>
    <row r="8" spans="1:8" ht="33.75" customHeight="1">
      <c r="A8" s="6" t="s">
        <v>50</v>
      </c>
      <c r="B8" s="6" t="s">
        <v>51</v>
      </c>
      <c r="C8" s="6" t="s">
        <v>52</v>
      </c>
      <c r="D8" s="6" t="s">
        <v>53</v>
      </c>
      <c r="E8" s="6" t="s">
        <v>54</v>
      </c>
      <c r="F8" s="6" t="s">
        <v>55</v>
      </c>
      <c r="G8" s="6" t="s">
        <v>56</v>
      </c>
      <c r="H8" s="6" t="s">
        <v>38</v>
      </c>
    </row>
    <row r="9" spans="1:8" ht="139.5" customHeight="1">
      <c r="A9" s="9" t="s">
        <v>518</v>
      </c>
      <c r="B9" s="9" t="s">
        <v>140</v>
      </c>
      <c r="C9" s="29" t="s">
        <v>441</v>
      </c>
      <c r="D9" s="9" t="s">
        <v>141</v>
      </c>
      <c r="E9" s="9" t="s">
        <v>142</v>
      </c>
      <c r="F9" s="34" t="s">
        <v>44</v>
      </c>
      <c r="G9" s="33">
        <v>46318</v>
      </c>
      <c r="H9" s="32" t="s">
        <v>626</v>
      </c>
    </row>
    <row r="10" spans="1:8" ht="139.5" customHeight="1">
      <c r="A10" s="10" t="s">
        <v>519</v>
      </c>
      <c r="B10" s="10" t="s">
        <v>143</v>
      </c>
      <c r="C10" s="30" t="s">
        <v>442</v>
      </c>
      <c r="D10" s="10" t="s">
        <v>144</v>
      </c>
      <c r="E10" s="10" t="s">
        <v>142</v>
      </c>
      <c r="F10" s="34" t="s">
        <v>44</v>
      </c>
      <c r="G10" s="33">
        <v>46318</v>
      </c>
      <c r="H10" s="32" t="s">
        <v>627</v>
      </c>
    </row>
    <row r="11" spans="1:8" ht="139.5" customHeight="1">
      <c r="A11" s="9" t="s">
        <v>520</v>
      </c>
      <c r="B11" s="9" t="s">
        <v>145</v>
      </c>
      <c r="C11" s="9" t="s">
        <v>443</v>
      </c>
      <c r="D11" s="9" t="s">
        <v>146</v>
      </c>
      <c r="E11" s="9" t="s">
        <v>142</v>
      </c>
      <c r="F11" s="34" t="s">
        <v>44</v>
      </c>
      <c r="G11" s="33">
        <v>46318</v>
      </c>
      <c r="H11" s="32" t="s">
        <v>628</v>
      </c>
    </row>
    <row r="12" spans="1:8" ht="139.5" customHeight="1">
      <c r="A12" s="10" t="s">
        <v>521</v>
      </c>
      <c r="B12" s="10" t="s">
        <v>147</v>
      </c>
      <c r="C12" s="10" t="s">
        <v>444</v>
      </c>
      <c r="D12" s="10" t="s">
        <v>148</v>
      </c>
      <c r="E12" s="10" t="s">
        <v>142</v>
      </c>
      <c r="F12" s="34" t="s">
        <v>44</v>
      </c>
      <c r="G12" s="33">
        <v>46318</v>
      </c>
      <c r="H12" s="32" t="s">
        <v>629</v>
      </c>
    </row>
    <row r="13" spans="1:8" ht="139.5" customHeight="1">
      <c r="A13" s="9" t="s">
        <v>522</v>
      </c>
      <c r="B13" s="9" t="s">
        <v>149</v>
      </c>
      <c r="C13" s="9" t="s">
        <v>445</v>
      </c>
      <c r="D13" s="9" t="s">
        <v>150</v>
      </c>
      <c r="E13" s="9" t="s">
        <v>142</v>
      </c>
      <c r="F13" s="34" t="s">
        <v>44</v>
      </c>
      <c r="G13" s="33">
        <v>46318</v>
      </c>
      <c r="H13" s="32" t="s">
        <v>630</v>
      </c>
    </row>
    <row r="14" spans="1:8" ht="141.75" customHeight="1">
      <c r="A14" s="10" t="s">
        <v>523</v>
      </c>
      <c r="B14" s="10" t="s">
        <v>151</v>
      </c>
      <c r="C14" s="10" t="s">
        <v>446</v>
      </c>
      <c r="D14" s="10" t="s">
        <v>152</v>
      </c>
      <c r="E14" s="10" t="s">
        <v>142</v>
      </c>
      <c r="F14" s="34" t="s">
        <v>44</v>
      </c>
      <c r="G14" s="33">
        <v>46318</v>
      </c>
      <c r="H14" s="32" t="s">
        <v>631</v>
      </c>
    </row>
    <row r="15" spans="1:8" ht="141.75" customHeight="1">
      <c r="A15" s="9" t="s">
        <v>524</v>
      </c>
      <c r="B15" s="9" t="s">
        <v>153</v>
      </c>
      <c r="C15" s="9" t="s">
        <v>447</v>
      </c>
      <c r="D15" s="9" t="s">
        <v>154</v>
      </c>
      <c r="E15" s="9" t="s">
        <v>142</v>
      </c>
      <c r="F15" s="34" t="s">
        <v>44</v>
      </c>
      <c r="G15" s="33">
        <v>46318</v>
      </c>
      <c r="H15" s="32" t="s">
        <v>632</v>
      </c>
    </row>
    <row r="16" spans="1:8" ht="141.75" customHeight="1">
      <c r="A16" s="10" t="s">
        <v>525</v>
      </c>
      <c r="B16" s="10" t="s">
        <v>155</v>
      </c>
      <c r="C16" s="10" t="s">
        <v>448</v>
      </c>
      <c r="D16" s="10" t="s">
        <v>156</v>
      </c>
      <c r="E16" s="10" t="s">
        <v>142</v>
      </c>
      <c r="F16" s="34" t="s">
        <v>44</v>
      </c>
      <c r="G16" s="33">
        <v>46318</v>
      </c>
      <c r="H16" s="32" t="s">
        <v>633</v>
      </c>
    </row>
    <row r="17" spans="1:8" ht="141.75" customHeight="1">
      <c r="A17" s="9" t="s">
        <v>526</v>
      </c>
      <c r="B17" s="9" t="s">
        <v>157</v>
      </c>
      <c r="C17" s="9" t="s">
        <v>449</v>
      </c>
      <c r="D17" s="9" t="s">
        <v>158</v>
      </c>
      <c r="E17" s="9" t="s">
        <v>142</v>
      </c>
      <c r="F17" s="34" t="s">
        <v>44</v>
      </c>
      <c r="G17" s="33">
        <v>46318</v>
      </c>
      <c r="H17" s="32" t="s">
        <v>634</v>
      </c>
    </row>
    <row r="18" spans="1:8" ht="141.75" customHeight="1">
      <c r="A18" s="10" t="s">
        <v>527</v>
      </c>
      <c r="B18" s="10" t="s">
        <v>159</v>
      </c>
      <c r="C18" s="10" t="s">
        <v>450</v>
      </c>
      <c r="D18" s="10" t="s">
        <v>160</v>
      </c>
      <c r="E18" s="10" t="s">
        <v>142</v>
      </c>
      <c r="F18" s="34" t="s">
        <v>44</v>
      </c>
      <c r="G18" s="33">
        <v>46318</v>
      </c>
      <c r="H18" s="32" t="s">
        <v>635</v>
      </c>
    </row>
    <row r="19" spans="1:8" ht="141.75" customHeight="1">
      <c r="A19" s="9" t="s">
        <v>528</v>
      </c>
      <c r="B19" s="9" t="s">
        <v>161</v>
      </c>
      <c r="C19" s="9" t="s">
        <v>451</v>
      </c>
      <c r="D19" s="9" t="s">
        <v>162</v>
      </c>
      <c r="E19" s="9" t="s">
        <v>142</v>
      </c>
      <c r="F19" s="34" t="s">
        <v>44</v>
      </c>
      <c r="G19" s="33">
        <v>46318</v>
      </c>
      <c r="H19" s="32" t="s">
        <v>636</v>
      </c>
    </row>
    <row r="20" spans="1:8" ht="139.5" customHeight="1">
      <c r="A20" s="10" t="s">
        <v>529</v>
      </c>
      <c r="B20" s="10" t="s">
        <v>163</v>
      </c>
      <c r="C20" s="10" t="s">
        <v>452</v>
      </c>
      <c r="D20" s="10" t="s">
        <v>164</v>
      </c>
      <c r="E20" s="10" t="s">
        <v>142</v>
      </c>
      <c r="F20" s="34" t="s">
        <v>44</v>
      </c>
      <c r="G20" s="33">
        <v>46318</v>
      </c>
      <c r="H20" s="32" t="s">
        <v>637</v>
      </c>
    </row>
    <row r="21" spans="1:8" ht="139.5" customHeight="1">
      <c r="A21" s="9" t="s">
        <v>530</v>
      </c>
      <c r="B21" s="9" t="s">
        <v>165</v>
      </c>
      <c r="C21" s="9" t="s">
        <v>453</v>
      </c>
      <c r="D21" s="9" t="s">
        <v>166</v>
      </c>
      <c r="E21" s="9" t="s">
        <v>142</v>
      </c>
      <c r="F21" s="34" t="s">
        <v>44</v>
      </c>
      <c r="G21" s="33">
        <v>46318</v>
      </c>
      <c r="H21" s="32" t="s">
        <v>638</v>
      </c>
    </row>
    <row r="22" spans="1:8" ht="139.5" customHeight="1">
      <c r="A22" s="10" t="s">
        <v>531</v>
      </c>
      <c r="B22" s="10" t="s">
        <v>167</v>
      </c>
      <c r="C22" s="10" t="s">
        <v>454</v>
      </c>
      <c r="D22" s="10" t="s">
        <v>168</v>
      </c>
      <c r="E22" s="10" t="s">
        <v>142</v>
      </c>
      <c r="F22" s="34" t="s">
        <v>44</v>
      </c>
      <c r="G22" s="33">
        <v>46318</v>
      </c>
      <c r="H22" s="32" t="s">
        <v>639</v>
      </c>
    </row>
    <row r="23" spans="1:8" ht="139.5" customHeight="1">
      <c r="A23" s="9" t="s">
        <v>532</v>
      </c>
      <c r="B23" s="9" t="s">
        <v>169</v>
      </c>
      <c r="C23" s="9" t="s">
        <v>455</v>
      </c>
      <c r="D23" s="9" t="s">
        <v>170</v>
      </c>
      <c r="E23" s="9" t="s">
        <v>142</v>
      </c>
      <c r="F23" s="34" t="s">
        <v>44</v>
      </c>
      <c r="G23" s="33">
        <v>46318</v>
      </c>
      <c r="H23" s="32" t="s">
        <v>640</v>
      </c>
    </row>
    <row r="24" spans="1:8" ht="139.5" customHeight="1">
      <c r="A24" s="10" t="s">
        <v>533</v>
      </c>
      <c r="B24" s="10" t="s">
        <v>171</v>
      </c>
      <c r="C24" s="10" t="s">
        <v>456</v>
      </c>
      <c r="D24" s="10" t="s">
        <v>440</v>
      </c>
      <c r="E24" s="10" t="s">
        <v>142</v>
      </c>
      <c r="F24" s="34" t="s">
        <v>44</v>
      </c>
      <c r="G24" s="33">
        <v>46318</v>
      </c>
      <c r="H24" s="32" t="s">
        <v>641</v>
      </c>
    </row>
    <row r="25" spans="1:8" ht="139.5" customHeight="1">
      <c r="A25" s="9" t="s">
        <v>534</v>
      </c>
      <c r="B25" s="9" t="s">
        <v>172</v>
      </c>
      <c r="C25" s="9" t="s">
        <v>457</v>
      </c>
      <c r="D25" s="9" t="s">
        <v>173</v>
      </c>
      <c r="E25" s="9" t="s">
        <v>142</v>
      </c>
      <c r="F25" s="34" t="s">
        <v>44</v>
      </c>
      <c r="G25" s="33">
        <v>46318</v>
      </c>
      <c r="H25" s="32" t="s">
        <v>642</v>
      </c>
    </row>
    <row r="26" spans="1:8" ht="139.5" customHeight="1">
      <c r="A26" s="10" t="s">
        <v>535</v>
      </c>
      <c r="B26" s="10" t="s">
        <v>174</v>
      </c>
      <c r="C26" s="10" t="s">
        <v>458</v>
      </c>
      <c r="D26" s="10" t="s">
        <v>175</v>
      </c>
      <c r="E26" s="10" t="s">
        <v>142</v>
      </c>
      <c r="F26" s="34" t="s">
        <v>44</v>
      </c>
      <c r="G26" s="33">
        <v>46318</v>
      </c>
      <c r="H26" s="32" t="s">
        <v>643</v>
      </c>
    </row>
    <row r="27" spans="1:8" ht="139.5" customHeight="1">
      <c r="A27" s="9" t="s">
        <v>536</v>
      </c>
      <c r="B27" s="9" t="s">
        <v>176</v>
      </c>
      <c r="C27" s="9" t="s">
        <v>459</v>
      </c>
      <c r="D27" s="9" t="s">
        <v>177</v>
      </c>
      <c r="E27" s="9" t="s">
        <v>142</v>
      </c>
      <c r="F27" s="34" t="s">
        <v>44</v>
      </c>
      <c r="G27" s="33">
        <v>46318</v>
      </c>
      <c r="H27" s="32" t="s">
        <v>644</v>
      </c>
    </row>
    <row r="28" spans="1:8" ht="139.5" customHeight="1">
      <c r="A28" s="10" t="s">
        <v>537</v>
      </c>
      <c r="B28" s="10" t="s">
        <v>178</v>
      </c>
      <c r="C28" s="10" t="s">
        <v>460</v>
      </c>
      <c r="D28" s="10" t="s">
        <v>179</v>
      </c>
      <c r="E28" s="10" t="s">
        <v>142</v>
      </c>
      <c r="F28" s="34" t="s">
        <v>44</v>
      </c>
      <c r="G28" s="33">
        <v>46318</v>
      </c>
      <c r="H28" s="32" t="s">
        <v>645</v>
      </c>
    </row>
    <row r="29" spans="1:8" ht="139.5" customHeight="1">
      <c r="A29" s="9" t="s">
        <v>538</v>
      </c>
      <c r="B29" s="9" t="s">
        <v>180</v>
      </c>
      <c r="C29" s="9" t="s">
        <v>461</v>
      </c>
      <c r="D29" s="9" t="s">
        <v>181</v>
      </c>
      <c r="E29" s="9" t="s">
        <v>142</v>
      </c>
      <c r="F29" s="34" t="s">
        <v>44</v>
      </c>
      <c r="G29" s="33">
        <v>46318</v>
      </c>
      <c r="H29" s="32" t="s">
        <v>646</v>
      </c>
    </row>
    <row r="30" spans="1:8" ht="139.5" customHeight="1">
      <c r="A30" s="10" t="s">
        <v>539</v>
      </c>
      <c r="B30" s="10" t="s">
        <v>182</v>
      </c>
      <c r="C30" s="10" t="s">
        <v>462</v>
      </c>
      <c r="D30" s="10" t="s">
        <v>183</v>
      </c>
      <c r="E30" s="10" t="s">
        <v>142</v>
      </c>
      <c r="F30" s="34" t="s">
        <v>45</v>
      </c>
      <c r="G30" s="33">
        <v>46318</v>
      </c>
      <c r="H30" s="32" t="s">
        <v>647</v>
      </c>
    </row>
    <row r="31" spans="1:8" ht="139.5" customHeight="1">
      <c r="A31" s="9" t="s">
        <v>540</v>
      </c>
      <c r="B31" s="9" t="s">
        <v>184</v>
      </c>
      <c r="C31" s="29" t="s">
        <v>466</v>
      </c>
      <c r="D31" s="9" t="s">
        <v>185</v>
      </c>
      <c r="E31" s="9" t="s">
        <v>142</v>
      </c>
      <c r="F31" s="34" t="s">
        <v>45</v>
      </c>
      <c r="G31" s="33">
        <v>46318</v>
      </c>
      <c r="H31" s="32" t="s">
        <v>648</v>
      </c>
    </row>
    <row r="32" spans="1:8" ht="139.5" customHeight="1">
      <c r="A32" s="10" t="s">
        <v>541</v>
      </c>
      <c r="B32" s="10" t="s">
        <v>186</v>
      </c>
      <c r="C32" s="10" t="s">
        <v>463</v>
      </c>
      <c r="D32" s="10" t="s">
        <v>187</v>
      </c>
      <c r="E32" s="10" t="s">
        <v>142</v>
      </c>
      <c r="F32" s="34" t="s">
        <v>44</v>
      </c>
      <c r="G32" s="33">
        <v>46318</v>
      </c>
      <c r="H32" s="32" t="s">
        <v>649</v>
      </c>
    </row>
    <row r="33" spans="1:8" ht="141.75" customHeight="1">
      <c r="A33" s="9" t="s">
        <v>542</v>
      </c>
      <c r="B33" s="9" t="s">
        <v>188</v>
      </c>
      <c r="C33" s="9" t="s">
        <v>464</v>
      </c>
      <c r="D33" s="9" t="s">
        <v>189</v>
      </c>
      <c r="E33" s="9" t="s">
        <v>142</v>
      </c>
      <c r="F33" s="34" t="s">
        <v>44</v>
      </c>
      <c r="G33" s="33">
        <v>46318</v>
      </c>
      <c r="H33" s="32" t="s">
        <v>650</v>
      </c>
    </row>
    <row r="34" spans="1:8" ht="15.75" customHeight="1"/>
    <row r="35" spans="1:8" ht="15.75" customHeight="1"/>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conditionalFormatting sqref="F9:F33">
    <cfRule type="containsText" dxfId="11" priority="1" operator="containsText" text="Passed">
      <formula>NOT(ISERROR(SEARCH(("Passed"),(F9))))</formula>
    </cfRule>
    <cfRule type="containsText" dxfId="10" priority="2" operator="containsText" text="Failed">
      <formula>NOT(ISERROR(SEARCH(("Failed"),(F9))))</formula>
    </cfRule>
    <cfRule type="containsText" dxfId="9" priority="3" operator="containsText" text="Blocked">
      <formula>NOT(ISERROR(SEARCH(("Blocked"),(F9))))</formula>
    </cfRule>
    <cfRule type="containsText" dxfId="8" priority="4" operator="containsText" text="Skipped">
      <formula>NOT(ISERROR(SEARCH(("Skipped"),(F9))))</formula>
    </cfRule>
  </conditionalFormatting>
  <dataValidations count="1">
    <dataValidation type="list" allowBlank="1" sqref="F9:F33" xr:uid="{00000000-0002-0000-0300-000000000000}">
      <formula1>"Passed,Failed,Untested,Blocked,Skipped"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sheetPr>
  <dimension ref="A1:H1000"/>
  <sheetViews>
    <sheetView showGridLines="0" zoomScale="40" zoomScaleNormal="40" workbookViewId="0">
      <pane xSplit="1" ySplit="8" topLeftCell="B27" activePane="bottomRight" state="frozen"/>
      <selection pane="topRight"/>
      <selection pane="bottomLeft"/>
      <selection pane="bottomRight" activeCell="B2" sqref="B2:H2"/>
    </sheetView>
  </sheetViews>
  <sheetFormatPr defaultColWidth="12.59765625" defaultRowHeight="13.8"/>
  <cols>
    <col min="1" max="1" width="25" style="19" customWidth="1"/>
    <col min="2" max="2" width="36" style="19" customWidth="1"/>
    <col min="3" max="3" width="72" customWidth="1"/>
    <col min="4" max="4" width="65" customWidth="1"/>
    <col min="5" max="5" width="24" customWidth="1"/>
    <col min="6" max="6" width="14" customWidth="1"/>
    <col min="7" max="7" width="15" customWidth="1"/>
    <col min="8" max="8" width="40" customWidth="1"/>
    <col min="9" max="26" width="8.59765625" customWidth="1"/>
  </cols>
  <sheetData>
    <row r="1" spans="1:8">
      <c r="A1" s="20"/>
      <c r="B1" s="13"/>
      <c r="C1" s="1"/>
      <c r="D1" s="1"/>
      <c r="E1" s="1"/>
      <c r="F1" s="1"/>
      <c r="G1" s="1"/>
      <c r="H1" s="1"/>
    </row>
    <row r="2" spans="1:8">
      <c r="A2" s="21" t="s">
        <v>41</v>
      </c>
      <c r="B2" s="37" t="s">
        <v>114</v>
      </c>
      <c r="C2" s="36"/>
      <c r="D2" s="36"/>
      <c r="E2" s="36"/>
      <c r="F2" s="36"/>
      <c r="G2" s="36"/>
      <c r="H2" s="36"/>
    </row>
    <row r="3" spans="1:8">
      <c r="A3" s="21" t="s">
        <v>42</v>
      </c>
      <c r="B3" s="37" t="s">
        <v>92</v>
      </c>
      <c r="C3" s="36"/>
      <c r="D3" s="36"/>
      <c r="E3" s="36"/>
      <c r="F3" s="36"/>
      <c r="G3" s="36"/>
      <c r="H3" s="36"/>
    </row>
    <row r="4" spans="1:8">
      <c r="A4" s="21" t="s">
        <v>43</v>
      </c>
      <c r="B4" s="37" t="s">
        <v>139</v>
      </c>
      <c r="C4" s="36"/>
      <c r="D4" s="36"/>
      <c r="E4" s="36"/>
      <c r="F4" s="36"/>
      <c r="G4" s="36"/>
      <c r="H4" s="36"/>
    </row>
    <row r="5" spans="1:8" ht="24" customHeight="1">
      <c r="A5" s="22" t="s">
        <v>44</v>
      </c>
      <c r="B5" s="14" t="s">
        <v>45</v>
      </c>
      <c r="C5" s="7" t="s">
        <v>46</v>
      </c>
      <c r="D5" s="7" t="s">
        <v>47</v>
      </c>
      <c r="E5" s="7" t="s">
        <v>48</v>
      </c>
      <c r="F5" s="38" t="s">
        <v>49</v>
      </c>
      <c r="G5" s="39"/>
      <c r="H5" s="39"/>
    </row>
    <row r="6" spans="1:8" ht="24" customHeight="1">
      <c r="A6" s="23">
        <f>COUNTIF($F$9:$F$33,"Passed")</f>
        <v>0</v>
      </c>
      <c r="B6" s="15">
        <f>COUNTIF($F$9:$F$33,"Failed")</f>
        <v>1</v>
      </c>
      <c r="C6" s="8">
        <f>COUNTIF($F$9:$F$33,"Untested")</f>
        <v>0</v>
      </c>
      <c r="D6" s="8">
        <f>COUNTIF($F$9:$F$33,"Blocked")</f>
        <v>0</v>
      </c>
      <c r="E6" s="8">
        <f>COUNTIF($F$9:$F$33,"Skipped")</f>
        <v>24</v>
      </c>
      <c r="F6" s="40">
        <f>COUNTA(A9:A33)</f>
        <v>25</v>
      </c>
      <c r="G6" s="36"/>
      <c r="H6" s="36"/>
    </row>
    <row r="7" spans="1:8">
      <c r="A7" s="27"/>
      <c r="B7" s="13"/>
      <c r="C7" s="1"/>
      <c r="D7" s="1"/>
      <c r="E7" s="1"/>
      <c r="F7" s="1"/>
      <c r="G7" s="1"/>
      <c r="H7" s="1"/>
    </row>
    <row r="8" spans="1:8" ht="33.75" customHeight="1">
      <c r="A8" s="24" t="s">
        <v>50</v>
      </c>
      <c r="B8" s="16" t="s">
        <v>51</v>
      </c>
      <c r="C8" s="6" t="s">
        <v>52</v>
      </c>
      <c r="D8" s="6" t="s">
        <v>53</v>
      </c>
      <c r="E8" s="6" t="s">
        <v>54</v>
      </c>
      <c r="F8" s="6" t="s">
        <v>55</v>
      </c>
      <c r="G8" s="6" t="s">
        <v>56</v>
      </c>
      <c r="H8" s="6" t="s">
        <v>38</v>
      </c>
    </row>
    <row r="9" spans="1:8" ht="139.5" customHeight="1">
      <c r="A9" s="25" t="s">
        <v>543</v>
      </c>
      <c r="B9" s="17" t="s">
        <v>190</v>
      </c>
      <c r="C9" s="9" t="s">
        <v>667</v>
      </c>
      <c r="D9" s="9" t="s">
        <v>191</v>
      </c>
      <c r="E9" s="9" t="s">
        <v>142</v>
      </c>
      <c r="F9" s="61" t="s">
        <v>48</v>
      </c>
      <c r="G9" s="62">
        <v>46325</v>
      </c>
      <c r="H9" s="9" t="s">
        <v>192</v>
      </c>
    </row>
    <row r="10" spans="1:8" ht="139.5" customHeight="1">
      <c r="A10" s="26" t="s">
        <v>544</v>
      </c>
      <c r="B10" s="18" t="s">
        <v>193</v>
      </c>
      <c r="C10" s="10" t="s">
        <v>668</v>
      </c>
      <c r="D10" s="10" t="s">
        <v>194</v>
      </c>
      <c r="E10" s="10" t="s">
        <v>142</v>
      </c>
      <c r="F10" s="61" t="s">
        <v>48</v>
      </c>
      <c r="G10" s="62">
        <v>46325</v>
      </c>
      <c r="H10" s="9" t="s">
        <v>192</v>
      </c>
    </row>
    <row r="11" spans="1:8" ht="139.5" customHeight="1">
      <c r="A11" s="25" t="s">
        <v>545</v>
      </c>
      <c r="B11" s="17" t="s">
        <v>57</v>
      </c>
      <c r="C11" s="9" t="s">
        <v>195</v>
      </c>
      <c r="D11" s="9" t="s">
        <v>196</v>
      </c>
      <c r="E11" s="9" t="s">
        <v>142</v>
      </c>
      <c r="F11" s="61" t="s">
        <v>48</v>
      </c>
      <c r="G11" s="62">
        <v>46325</v>
      </c>
      <c r="H11" s="9" t="s">
        <v>197</v>
      </c>
    </row>
    <row r="12" spans="1:8" ht="139.5" customHeight="1">
      <c r="A12" s="26" t="s">
        <v>546</v>
      </c>
      <c r="B12" s="18" t="s">
        <v>58</v>
      </c>
      <c r="C12" s="10" t="s">
        <v>198</v>
      </c>
      <c r="D12" s="10" t="s">
        <v>199</v>
      </c>
      <c r="E12" s="10" t="s">
        <v>142</v>
      </c>
      <c r="F12" s="61" t="s">
        <v>48</v>
      </c>
      <c r="G12" s="62">
        <v>46325</v>
      </c>
      <c r="H12" s="9" t="s">
        <v>197</v>
      </c>
    </row>
    <row r="13" spans="1:8" ht="139.5" customHeight="1">
      <c r="A13" s="25" t="s">
        <v>547</v>
      </c>
      <c r="B13" s="17" t="s">
        <v>200</v>
      </c>
      <c r="C13" s="9" t="s">
        <v>201</v>
      </c>
      <c r="D13" s="9" t="s">
        <v>202</v>
      </c>
      <c r="E13" s="9" t="s">
        <v>142</v>
      </c>
      <c r="F13" s="61" t="s">
        <v>48</v>
      </c>
      <c r="G13" s="62">
        <v>46325</v>
      </c>
      <c r="H13" s="9" t="s">
        <v>197</v>
      </c>
    </row>
    <row r="14" spans="1:8" ht="139.5" customHeight="1">
      <c r="A14" s="26" t="s">
        <v>548</v>
      </c>
      <c r="B14" s="18" t="s">
        <v>203</v>
      </c>
      <c r="C14" s="10" t="s">
        <v>669</v>
      </c>
      <c r="D14" s="10" t="s">
        <v>670</v>
      </c>
      <c r="E14" s="10" t="s">
        <v>142</v>
      </c>
      <c r="F14" s="61" t="s">
        <v>45</v>
      </c>
      <c r="G14" s="62">
        <v>46325</v>
      </c>
      <c r="H14" s="9" t="s">
        <v>671</v>
      </c>
    </row>
    <row r="15" spans="1:8" ht="139.5" customHeight="1">
      <c r="A15" s="25" t="s">
        <v>549</v>
      </c>
      <c r="B15" s="17" t="s">
        <v>204</v>
      </c>
      <c r="C15" s="9" t="s">
        <v>672</v>
      </c>
      <c r="D15" s="9" t="s">
        <v>673</v>
      </c>
      <c r="E15" s="9" t="s">
        <v>142</v>
      </c>
      <c r="F15" s="61" t="s">
        <v>48</v>
      </c>
      <c r="G15" s="62">
        <v>46325</v>
      </c>
      <c r="H15" s="9" t="s">
        <v>674</v>
      </c>
    </row>
    <row r="16" spans="1:8" ht="139.5" customHeight="1">
      <c r="A16" s="26" t="s">
        <v>550</v>
      </c>
      <c r="B16" s="18" t="s">
        <v>205</v>
      </c>
      <c r="C16" s="10" t="s">
        <v>675</v>
      </c>
      <c r="D16" s="10" t="s">
        <v>676</v>
      </c>
      <c r="E16" s="10" t="s">
        <v>142</v>
      </c>
      <c r="F16" s="61" t="s">
        <v>48</v>
      </c>
      <c r="G16" s="62">
        <v>46325</v>
      </c>
      <c r="H16" s="9" t="s">
        <v>206</v>
      </c>
    </row>
    <row r="17" spans="1:8" ht="139.5" customHeight="1">
      <c r="A17" s="25" t="s">
        <v>551</v>
      </c>
      <c r="B17" s="17" t="s">
        <v>207</v>
      </c>
      <c r="C17" s="9" t="s">
        <v>208</v>
      </c>
      <c r="D17" s="9" t="s">
        <v>209</v>
      </c>
      <c r="E17" s="9" t="s">
        <v>142</v>
      </c>
      <c r="F17" s="61" t="s">
        <v>48</v>
      </c>
      <c r="G17" s="62">
        <v>46325</v>
      </c>
      <c r="H17" s="9" t="s">
        <v>210</v>
      </c>
    </row>
    <row r="18" spans="1:8" ht="139.5" customHeight="1">
      <c r="A18" s="26" t="s">
        <v>552</v>
      </c>
      <c r="B18" s="18" t="s">
        <v>211</v>
      </c>
      <c r="C18" s="10" t="s">
        <v>212</v>
      </c>
      <c r="D18" s="10" t="s">
        <v>209</v>
      </c>
      <c r="E18" s="10" t="s">
        <v>142</v>
      </c>
      <c r="F18" s="61" t="s">
        <v>48</v>
      </c>
      <c r="G18" s="62">
        <v>46325</v>
      </c>
      <c r="H18" s="9" t="s">
        <v>210</v>
      </c>
    </row>
    <row r="19" spans="1:8" ht="139.5" customHeight="1">
      <c r="A19" s="25" t="s">
        <v>553</v>
      </c>
      <c r="B19" s="17" t="s">
        <v>213</v>
      </c>
      <c r="C19" s="9" t="s">
        <v>677</v>
      </c>
      <c r="D19" s="9" t="s">
        <v>678</v>
      </c>
      <c r="E19" s="9" t="s">
        <v>142</v>
      </c>
      <c r="F19" s="61" t="s">
        <v>48</v>
      </c>
      <c r="G19" s="62">
        <v>46325</v>
      </c>
      <c r="H19" s="9" t="s">
        <v>679</v>
      </c>
    </row>
    <row r="20" spans="1:8" ht="139.5" customHeight="1">
      <c r="A20" s="26" t="s">
        <v>554</v>
      </c>
      <c r="B20" s="18" t="s">
        <v>214</v>
      </c>
      <c r="C20" s="10" t="s">
        <v>215</v>
      </c>
      <c r="D20" s="10" t="s">
        <v>216</v>
      </c>
      <c r="E20" s="10" t="s">
        <v>142</v>
      </c>
      <c r="F20" s="61" t="s">
        <v>48</v>
      </c>
      <c r="G20" s="62">
        <v>46325</v>
      </c>
      <c r="H20" s="9" t="s">
        <v>206</v>
      </c>
    </row>
    <row r="21" spans="1:8" ht="139.5" customHeight="1">
      <c r="A21" s="25" t="s">
        <v>555</v>
      </c>
      <c r="B21" s="17" t="s">
        <v>217</v>
      </c>
      <c r="C21" s="9" t="s">
        <v>218</v>
      </c>
      <c r="D21" s="9" t="s">
        <v>219</v>
      </c>
      <c r="E21" s="9" t="s">
        <v>142</v>
      </c>
      <c r="F21" s="61" t="s">
        <v>48</v>
      </c>
      <c r="G21" s="62">
        <v>46325</v>
      </c>
      <c r="H21" s="9" t="s">
        <v>220</v>
      </c>
    </row>
    <row r="22" spans="1:8" ht="139.5" customHeight="1">
      <c r="A22" s="26" t="s">
        <v>556</v>
      </c>
      <c r="B22" s="18" t="s">
        <v>221</v>
      </c>
      <c r="C22" s="10" t="s">
        <v>222</v>
      </c>
      <c r="D22" s="10" t="s">
        <v>223</v>
      </c>
      <c r="E22" s="10" t="s">
        <v>142</v>
      </c>
      <c r="F22" s="61" t="s">
        <v>48</v>
      </c>
      <c r="G22" s="62">
        <v>46325</v>
      </c>
      <c r="H22" s="9" t="s">
        <v>220</v>
      </c>
    </row>
    <row r="23" spans="1:8" ht="139.5" customHeight="1">
      <c r="A23" s="25" t="s">
        <v>557</v>
      </c>
      <c r="B23" s="17" t="s">
        <v>224</v>
      </c>
      <c r="C23" s="9" t="s">
        <v>225</v>
      </c>
      <c r="D23" s="9" t="s">
        <v>226</v>
      </c>
      <c r="E23" s="9" t="s">
        <v>142</v>
      </c>
      <c r="F23" s="61" t="s">
        <v>48</v>
      </c>
      <c r="G23" s="62">
        <v>46325</v>
      </c>
      <c r="H23" s="9" t="s">
        <v>227</v>
      </c>
    </row>
    <row r="24" spans="1:8" ht="139.5" customHeight="1">
      <c r="A24" s="26" t="s">
        <v>558</v>
      </c>
      <c r="B24" s="18" t="s">
        <v>228</v>
      </c>
      <c r="C24" s="10" t="s">
        <v>680</v>
      </c>
      <c r="D24" s="10" t="s">
        <v>681</v>
      </c>
      <c r="E24" s="10" t="s">
        <v>142</v>
      </c>
      <c r="F24" s="61" t="s">
        <v>48</v>
      </c>
      <c r="G24" s="62">
        <v>46325</v>
      </c>
      <c r="H24" s="9" t="s">
        <v>682</v>
      </c>
    </row>
    <row r="25" spans="1:8" ht="139.5" customHeight="1">
      <c r="A25" s="25" t="s">
        <v>559</v>
      </c>
      <c r="B25" s="17" t="s">
        <v>229</v>
      </c>
      <c r="C25" s="9" t="s">
        <v>230</v>
      </c>
      <c r="D25" s="9" t="s">
        <v>231</v>
      </c>
      <c r="E25" s="9" t="s">
        <v>142</v>
      </c>
      <c r="F25" s="61" t="s">
        <v>48</v>
      </c>
      <c r="G25" s="62">
        <v>46325</v>
      </c>
      <c r="H25" s="9" t="s">
        <v>232</v>
      </c>
    </row>
    <row r="26" spans="1:8" ht="139.5" customHeight="1">
      <c r="A26" s="26" t="s">
        <v>560</v>
      </c>
      <c r="B26" s="18" t="s">
        <v>233</v>
      </c>
      <c r="C26" s="10" t="s">
        <v>234</v>
      </c>
      <c r="D26" s="10" t="s">
        <v>235</v>
      </c>
      <c r="E26" s="10" t="s">
        <v>142</v>
      </c>
      <c r="F26" s="61" t="s">
        <v>48</v>
      </c>
      <c r="G26" s="62">
        <v>46325</v>
      </c>
      <c r="H26" s="9" t="s">
        <v>236</v>
      </c>
    </row>
    <row r="27" spans="1:8" ht="139.5" customHeight="1">
      <c r="A27" s="25" t="s">
        <v>561</v>
      </c>
      <c r="B27" s="17" t="s">
        <v>237</v>
      </c>
      <c r="C27" s="9" t="s">
        <v>238</v>
      </c>
      <c r="D27" s="9" t="s">
        <v>239</v>
      </c>
      <c r="E27" s="9" t="s">
        <v>142</v>
      </c>
      <c r="F27" s="61" t="s">
        <v>48</v>
      </c>
      <c r="G27" s="62">
        <v>46325</v>
      </c>
      <c r="H27" s="9" t="s">
        <v>236</v>
      </c>
    </row>
    <row r="28" spans="1:8" ht="139.5" customHeight="1">
      <c r="A28" s="26" t="s">
        <v>562</v>
      </c>
      <c r="B28" s="18" t="s">
        <v>240</v>
      </c>
      <c r="C28" s="10" t="s">
        <v>241</v>
      </c>
      <c r="D28" s="10" t="s">
        <v>242</v>
      </c>
      <c r="E28" s="10" t="s">
        <v>142</v>
      </c>
      <c r="F28" s="61" t="s">
        <v>48</v>
      </c>
      <c r="G28" s="62">
        <v>46325</v>
      </c>
      <c r="H28" s="9" t="s">
        <v>236</v>
      </c>
    </row>
    <row r="29" spans="1:8" ht="139.5" customHeight="1">
      <c r="A29" s="25" t="s">
        <v>563</v>
      </c>
      <c r="B29" s="17" t="s">
        <v>243</v>
      </c>
      <c r="C29" s="9" t="s">
        <v>244</v>
      </c>
      <c r="D29" s="9" t="s">
        <v>245</v>
      </c>
      <c r="E29" s="9" t="s">
        <v>142</v>
      </c>
      <c r="F29" s="61" t="s">
        <v>48</v>
      </c>
      <c r="G29" s="62">
        <v>46325</v>
      </c>
      <c r="H29" s="9" t="s">
        <v>246</v>
      </c>
    </row>
    <row r="30" spans="1:8" ht="139.5" customHeight="1">
      <c r="A30" s="26" t="s">
        <v>564</v>
      </c>
      <c r="B30" s="18" t="s">
        <v>247</v>
      </c>
      <c r="C30" s="10" t="s">
        <v>248</v>
      </c>
      <c r="D30" s="10" t="s">
        <v>249</v>
      </c>
      <c r="E30" s="10" t="s">
        <v>142</v>
      </c>
      <c r="F30" s="61" t="s">
        <v>48</v>
      </c>
      <c r="G30" s="62">
        <v>46325</v>
      </c>
      <c r="H30" s="9" t="s">
        <v>250</v>
      </c>
    </row>
    <row r="31" spans="1:8" ht="156" customHeight="1">
      <c r="A31" s="25" t="s">
        <v>565</v>
      </c>
      <c r="B31" s="17" t="s">
        <v>251</v>
      </c>
      <c r="C31" s="9" t="s">
        <v>683</v>
      </c>
      <c r="D31" s="9" t="s">
        <v>252</v>
      </c>
      <c r="E31" s="9" t="s">
        <v>142</v>
      </c>
      <c r="F31" s="61" t="s">
        <v>48</v>
      </c>
      <c r="G31" s="62">
        <v>46325</v>
      </c>
      <c r="H31" s="9" t="s">
        <v>253</v>
      </c>
    </row>
    <row r="32" spans="1:8" ht="156" customHeight="1">
      <c r="A32" s="26" t="s">
        <v>566</v>
      </c>
      <c r="B32" s="18" t="s">
        <v>254</v>
      </c>
      <c r="C32" s="10" t="s">
        <v>684</v>
      </c>
      <c r="D32" s="10" t="s">
        <v>685</v>
      </c>
      <c r="E32" s="10" t="s">
        <v>142</v>
      </c>
      <c r="F32" s="61" t="s">
        <v>48</v>
      </c>
      <c r="G32" s="62">
        <v>46325</v>
      </c>
      <c r="H32" s="9" t="s">
        <v>255</v>
      </c>
    </row>
    <row r="33" spans="1:8" ht="139.5" customHeight="1">
      <c r="A33" s="25" t="s">
        <v>567</v>
      </c>
      <c r="B33" s="17" t="s">
        <v>256</v>
      </c>
      <c r="C33" s="9" t="s">
        <v>257</v>
      </c>
      <c r="D33" s="9" t="s">
        <v>258</v>
      </c>
      <c r="E33" s="9" t="s">
        <v>142</v>
      </c>
      <c r="F33" s="61" t="s">
        <v>48</v>
      </c>
      <c r="G33" s="62">
        <v>46325</v>
      </c>
      <c r="H33" s="9" t="s">
        <v>253</v>
      </c>
    </row>
    <row r="34" spans="1:8" ht="15.75" customHeight="1"/>
    <row r="35" spans="1:8" ht="15.75" customHeight="1"/>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conditionalFormatting sqref="F9:F33">
    <cfRule type="containsText" dxfId="7" priority="1" operator="containsText" text="Passed">
      <formula>NOT(ISERROR(SEARCH(("Passed"),(F9))))</formula>
    </cfRule>
    <cfRule type="containsText" dxfId="6" priority="2" operator="containsText" text="Failed">
      <formula>NOT(ISERROR(SEARCH(("Failed"),(F9))))</formula>
    </cfRule>
    <cfRule type="containsText" dxfId="5" priority="3" operator="containsText" text="Blocked">
      <formula>NOT(ISERROR(SEARCH(("Blocked"),(F9))))</formula>
    </cfRule>
    <cfRule type="containsText" dxfId="4" priority="4" operator="containsText" text="Skipped">
      <formula>NOT(ISERROR(SEARCH(("Skipped"),(F9))))</formula>
    </cfRule>
  </conditionalFormatting>
  <dataValidations count="1">
    <dataValidation type="list" allowBlank="1" sqref="F9:F33" xr:uid="{DD1B927F-6CAD-48F5-9888-7BB3C6C3E6E1}">
      <formula1>"Passed,Failed,Untested,Blocked,Skipped"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sheetPr>
  <dimension ref="A1:H1000"/>
  <sheetViews>
    <sheetView showGridLines="0" tabSelected="1" zoomScale="76" zoomScaleNormal="76" workbookViewId="0">
      <pane xSplit="1" ySplit="8" topLeftCell="C9" activePane="bottomRight" state="frozen"/>
      <selection pane="topRight"/>
      <selection pane="bottomLeft"/>
      <selection pane="bottomRight" activeCell="B2" sqref="B2:H4"/>
    </sheetView>
  </sheetViews>
  <sheetFormatPr defaultColWidth="12.59765625" defaultRowHeight="13.8"/>
  <cols>
    <col min="1" max="1" width="25" customWidth="1"/>
    <col min="2" max="2" width="36" customWidth="1"/>
    <col min="3" max="3" width="72" customWidth="1"/>
    <col min="4" max="4" width="65" customWidth="1"/>
    <col min="5" max="5" width="24" customWidth="1"/>
    <col min="6" max="6" width="14" customWidth="1"/>
    <col min="7" max="7" width="15" customWidth="1"/>
    <col min="8" max="8" width="40" customWidth="1"/>
    <col min="9" max="26" width="8.59765625" customWidth="1"/>
  </cols>
  <sheetData>
    <row r="1" spans="1:8">
      <c r="A1" s="1"/>
      <c r="B1" s="1"/>
      <c r="C1" s="1"/>
      <c r="D1" s="1"/>
      <c r="E1" s="1"/>
      <c r="F1" s="1"/>
      <c r="G1" s="1"/>
      <c r="H1" s="1"/>
    </row>
    <row r="2" spans="1:8">
      <c r="A2" s="3" t="s">
        <v>41</v>
      </c>
      <c r="B2" s="35" t="s">
        <v>126</v>
      </c>
      <c r="C2" s="36"/>
      <c r="D2" s="36"/>
      <c r="E2" s="36"/>
      <c r="F2" s="36"/>
      <c r="G2" s="36"/>
      <c r="H2" s="36"/>
    </row>
    <row r="3" spans="1:8">
      <c r="A3" s="3" t="s">
        <v>42</v>
      </c>
      <c r="B3" s="35" t="s">
        <v>93</v>
      </c>
      <c r="C3" s="36"/>
      <c r="D3" s="36"/>
      <c r="E3" s="36"/>
      <c r="F3" s="36"/>
      <c r="G3" s="36"/>
      <c r="H3" s="36"/>
    </row>
    <row r="4" spans="1:8">
      <c r="A4" s="3" t="s">
        <v>43</v>
      </c>
      <c r="B4" s="37" t="s">
        <v>139</v>
      </c>
      <c r="C4" s="36"/>
      <c r="D4" s="36"/>
      <c r="E4" s="36"/>
      <c r="F4" s="36"/>
      <c r="G4" s="36"/>
      <c r="H4" s="36"/>
    </row>
    <row r="5" spans="1:8" ht="24" customHeight="1">
      <c r="A5" s="7" t="s">
        <v>44</v>
      </c>
      <c r="B5" s="7" t="s">
        <v>45</v>
      </c>
      <c r="C5" s="7" t="s">
        <v>46</v>
      </c>
      <c r="D5" s="7" t="s">
        <v>47</v>
      </c>
      <c r="E5" s="7" t="s">
        <v>48</v>
      </c>
      <c r="F5" s="38" t="s">
        <v>49</v>
      </c>
      <c r="G5" s="39"/>
      <c r="H5" s="39"/>
    </row>
    <row r="6" spans="1:8" ht="24" customHeight="1">
      <c r="A6" s="8">
        <f>COUNTIF($F$9:$F$33,"Passed")</f>
        <v>1</v>
      </c>
      <c r="B6" s="8">
        <f>COUNTIF($F$9:$F$33,"Failed")</f>
        <v>23</v>
      </c>
      <c r="C6" s="8">
        <f>COUNTIF($F$9:$F$33,"Untested")</f>
        <v>0</v>
      </c>
      <c r="D6" s="8">
        <f>COUNTIF($F$9:$F$33,"Blocked")</f>
        <v>0</v>
      </c>
      <c r="E6" s="8">
        <f>COUNTIF($F$9:$F$33,"Skipped")</f>
        <v>1</v>
      </c>
      <c r="F6" s="40">
        <f>COUNTA(A9:A33)</f>
        <v>25</v>
      </c>
      <c r="G6" s="36"/>
      <c r="H6" s="36"/>
    </row>
    <row r="7" spans="1:8">
      <c r="A7" s="1"/>
      <c r="B7" s="1"/>
      <c r="C7" s="1"/>
      <c r="D7" s="1"/>
      <c r="E7" s="1"/>
      <c r="F7" s="1"/>
      <c r="G7" s="1"/>
      <c r="H7" s="1"/>
    </row>
    <row r="8" spans="1:8" ht="33.75" customHeight="1">
      <c r="A8" s="6" t="s">
        <v>50</v>
      </c>
      <c r="B8" s="6" t="s">
        <v>51</v>
      </c>
      <c r="C8" s="6" t="s">
        <v>52</v>
      </c>
      <c r="D8" s="6" t="s">
        <v>53</v>
      </c>
      <c r="E8" s="6" t="s">
        <v>54</v>
      </c>
      <c r="F8" s="6" t="s">
        <v>55</v>
      </c>
      <c r="G8" s="6" t="s">
        <v>56</v>
      </c>
      <c r="H8" s="6" t="s">
        <v>38</v>
      </c>
    </row>
    <row r="9" spans="1:8" ht="139.5" customHeight="1">
      <c r="A9" s="9" t="s">
        <v>568</v>
      </c>
      <c r="B9" s="9" t="s">
        <v>259</v>
      </c>
      <c r="C9" s="9" t="s">
        <v>260</v>
      </c>
      <c r="D9" s="9" t="s">
        <v>261</v>
      </c>
      <c r="E9" s="9" t="s">
        <v>262</v>
      </c>
      <c r="F9" s="63" t="s">
        <v>44</v>
      </c>
      <c r="G9" s="64">
        <v>46325</v>
      </c>
      <c r="H9" s="9" t="s">
        <v>263</v>
      </c>
    </row>
    <row r="10" spans="1:8" ht="139.5" customHeight="1">
      <c r="A10" s="10" t="s">
        <v>569</v>
      </c>
      <c r="B10" s="10" t="s">
        <v>264</v>
      </c>
      <c r="C10" s="10" t="s">
        <v>265</v>
      </c>
      <c r="D10" s="10" t="s">
        <v>266</v>
      </c>
      <c r="E10" s="10" t="s">
        <v>262</v>
      </c>
      <c r="F10" s="63" t="s">
        <v>45</v>
      </c>
      <c r="G10" s="64">
        <v>46325</v>
      </c>
      <c r="H10" s="9" t="s">
        <v>267</v>
      </c>
    </row>
    <row r="11" spans="1:8" ht="139.5" customHeight="1">
      <c r="A11" s="9" t="s">
        <v>570</v>
      </c>
      <c r="B11" s="9" t="s">
        <v>268</v>
      </c>
      <c r="C11" s="9" t="s">
        <v>686</v>
      </c>
      <c r="D11" s="9" t="s">
        <v>269</v>
      </c>
      <c r="E11" s="9" t="s">
        <v>262</v>
      </c>
      <c r="F11" s="63" t="s">
        <v>45</v>
      </c>
      <c r="G11" s="64">
        <v>46325</v>
      </c>
      <c r="H11" s="9" t="s">
        <v>267</v>
      </c>
    </row>
    <row r="12" spans="1:8" ht="139.5" customHeight="1">
      <c r="A12" s="10" t="s">
        <v>571</v>
      </c>
      <c r="B12" s="10" t="s">
        <v>270</v>
      </c>
      <c r="C12" s="10" t="s">
        <v>271</v>
      </c>
      <c r="D12" s="10" t="s">
        <v>272</v>
      </c>
      <c r="E12" s="10" t="s">
        <v>262</v>
      </c>
      <c r="F12" s="63" t="s">
        <v>45</v>
      </c>
      <c r="G12" s="64">
        <v>46325</v>
      </c>
      <c r="H12" s="9" t="s">
        <v>267</v>
      </c>
    </row>
    <row r="13" spans="1:8" ht="139.5" customHeight="1">
      <c r="A13" s="9" t="s">
        <v>572</v>
      </c>
      <c r="B13" s="9" t="s">
        <v>687</v>
      </c>
      <c r="C13" s="9" t="s">
        <v>688</v>
      </c>
      <c r="D13" s="9" t="s">
        <v>273</v>
      </c>
      <c r="E13" s="9" t="s">
        <v>262</v>
      </c>
      <c r="F13" s="63" t="s">
        <v>45</v>
      </c>
      <c r="G13" s="64">
        <v>46325</v>
      </c>
      <c r="H13" s="9" t="s">
        <v>267</v>
      </c>
    </row>
    <row r="14" spans="1:8" ht="139.5" customHeight="1">
      <c r="A14" s="10" t="s">
        <v>573</v>
      </c>
      <c r="B14" s="10" t="s">
        <v>274</v>
      </c>
      <c r="C14" s="10" t="s">
        <v>275</v>
      </c>
      <c r="D14" s="10" t="s">
        <v>276</v>
      </c>
      <c r="E14" s="10" t="s">
        <v>262</v>
      </c>
      <c r="F14" s="63" t="s">
        <v>45</v>
      </c>
      <c r="G14" s="64">
        <v>46325</v>
      </c>
      <c r="H14" s="9" t="s">
        <v>277</v>
      </c>
    </row>
    <row r="15" spans="1:8" ht="139.5" customHeight="1">
      <c r="A15" s="9" t="s">
        <v>574</v>
      </c>
      <c r="B15" s="9" t="s">
        <v>278</v>
      </c>
      <c r="C15" s="9" t="s">
        <v>279</v>
      </c>
      <c r="D15" s="9" t="s">
        <v>280</v>
      </c>
      <c r="E15" s="9" t="s">
        <v>262</v>
      </c>
      <c r="F15" s="63" t="s">
        <v>45</v>
      </c>
      <c r="G15" s="64">
        <v>46325</v>
      </c>
      <c r="H15" s="9" t="s">
        <v>281</v>
      </c>
    </row>
    <row r="16" spans="1:8" ht="139.5" customHeight="1">
      <c r="A16" s="10" t="s">
        <v>575</v>
      </c>
      <c r="B16" s="10" t="s">
        <v>282</v>
      </c>
      <c r="C16" s="10" t="s">
        <v>283</v>
      </c>
      <c r="D16" s="10" t="s">
        <v>284</v>
      </c>
      <c r="E16" s="10" t="s">
        <v>262</v>
      </c>
      <c r="F16" s="63" t="s">
        <v>45</v>
      </c>
      <c r="G16" s="64">
        <v>46325</v>
      </c>
      <c r="H16" s="9" t="s">
        <v>281</v>
      </c>
    </row>
    <row r="17" spans="1:8" ht="139.5" customHeight="1">
      <c r="A17" s="9" t="s">
        <v>576</v>
      </c>
      <c r="B17" s="9" t="s">
        <v>285</v>
      </c>
      <c r="C17" s="9" t="s">
        <v>286</v>
      </c>
      <c r="D17" s="9" t="s">
        <v>287</v>
      </c>
      <c r="E17" s="9" t="s">
        <v>262</v>
      </c>
      <c r="F17" s="63" t="s">
        <v>45</v>
      </c>
      <c r="G17" s="64">
        <v>46325</v>
      </c>
      <c r="H17" s="9" t="s">
        <v>281</v>
      </c>
    </row>
    <row r="18" spans="1:8" ht="139.5" customHeight="1">
      <c r="A18" s="10" t="s">
        <v>577</v>
      </c>
      <c r="B18" s="10" t="s">
        <v>288</v>
      </c>
      <c r="C18" s="10" t="s">
        <v>289</v>
      </c>
      <c r="D18" s="10" t="s">
        <v>290</v>
      </c>
      <c r="E18" s="10" t="s">
        <v>262</v>
      </c>
      <c r="F18" s="63" t="s">
        <v>45</v>
      </c>
      <c r="G18" s="64">
        <v>46325</v>
      </c>
      <c r="H18" s="9" t="s">
        <v>291</v>
      </c>
    </row>
    <row r="19" spans="1:8" ht="139.5" customHeight="1">
      <c r="A19" s="9" t="s">
        <v>578</v>
      </c>
      <c r="B19" s="9" t="s">
        <v>292</v>
      </c>
      <c r="C19" s="9" t="s">
        <v>293</v>
      </c>
      <c r="D19" s="9" t="s">
        <v>294</v>
      </c>
      <c r="E19" s="9" t="s">
        <v>262</v>
      </c>
      <c r="F19" s="63" t="s">
        <v>45</v>
      </c>
      <c r="G19" s="64">
        <v>46325</v>
      </c>
      <c r="H19" s="9" t="s">
        <v>295</v>
      </c>
    </row>
    <row r="20" spans="1:8" ht="139.5" customHeight="1">
      <c r="A20" s="10" t="s">
        <v>579</v>
      </c>
      <c r="B20" s="10" t="s">
        <v>296</v>
      </c>
      <c r="C20" s="10" t="s">
        <v>297</v>
      </c>
      <c r="D20" s="10" t="s">
        <v>298</v>
      </c>
      <c r="E20" s="10" t="s">
        <v>262</v>
      </c>
      <c r="F20" s="63" t="s">
        <v>45</v>
      </c>
      <c r="G20" s="64">
        <v>46325</v>
      </c>
      <c r="H20" s="9" t="s">
        <v>299</v>
      </c>
    </row>
    <row r="21" spans="1:8" ht="139.5" customHeight="1">
      <c r="A21" s="9" t="s">
        <v>580</v>
      </c>
      <c r="B21" s="9" t="s">
        <v>300</v>
      </c>
      <c r="C21" s="9" t="s">
        <v>301</v>
      </c>
      <c r="D21" s="9" t="s">
        <v>302</v>
      </c>
      <c r="E21" s="9" t="s">
        <v>262</v>
      </c>
      <c r="F21" s="63" t="s">
        <v>45</v>
      </c>
      <c r="G21" s="64">
        <v>46325</v>
      </c>
      <c r="H21" s="9" t="s">
        <v>303</v>
      </c>
    </row>
    <row r="22" spans="1:8" ht="139.5" customHeight="1">
      <c r="A22" s="10" t="s">
        <v>581</v>
      </c>
      <c r="B22" s="10" t="s">
        <v>304</v>
      </c>
      <c r="C22" s="10" t="s">
        <v>689</v>
      </c>
      <c r="D22" s="10" t="s">
        <v>305</v>
      </c>
      <c r="E22" s="10" t="s">
        <v>262</v>
      </c>
      <c r="F22" s="63" t="s">
        <v>48</v>
      </c>
      <c r="G22" s="64">
        <v>46325</v>
      </c>
      <c r="H22" s="9" t="s">
        <v>690</v>
      </c>
    </row>
    <row r="23" spans="1:8" ht="139.5" customHeight="1">
      <c r="A23" s="9" t="s">
        <v>582</v>
      </c>
      <c r="B23" s="9" t="s">
        <v>306</v>
      </c>
      <c r="C23" s="9" t="s">
        <v>307</v>
      </c>
      <c r="D23" s="9" t="s">
        <v>308</v>
      </c>
      <c r="E23" s="9" t="s">
        <v>262</v>
      </c>
      <c r="F23" s="63" t="s">
        <v>45</v>
      </c>
      <c r="G23" s="64">
        <v>46325</v>
      </c>
      <c r="H23" s="9" t="s">
        <v>309</v>
      </c>
    </row>
    <row r="24" spans="1:8" ht="139.5" customHeight="1">
      <c r="A24" s="10" t="s">
        <v>583</v>
      </c>
      <c r="B24" s="10" t="s">
        <v>310</v>
      </c>
      <c r="C24" s="10" t="s">
        <v>311</v>
      </c>
      <c r="D24" s="10" t="s">
        <v>312</v>
      </c>
      <c r="E24" s="10" t="s">
        <v>262</v>
      </c>
      <c r="F24" s="63" t="s">
        <v>45</v>
      </c>
      <c r="G24" s="64">
        <v>46325</v>
      </c>
      <c r="H24" s="9" t="s">
        <v>691</v>
      </c>
    </row>
    <row r="25" spans="1:8" ht="139.5" customHeight="1">
      <c r="A25" s="9" t="s">
        <v>584</v>
      </c>
      <c r="B25" s="9" t="s">
        <v>314</v>
      </c>
      <c r="C25" s="9" t="s">
        <v>315</v>
      </c>
      <c r="D25" s="9" t="s">
        <v>316</v>
      </c>
      <c r="E25" s="9" t="s">
        <v>262</v>
      </c>
      <c r="F25" s="63" t="s">
        <v>45</v>
      </c>
      <c r="G25" s="64">
        <v>46325</v>
      </c>
      <c r="H25" s="9" t="s">
        <v>313</v>
      </c>
    </row>
    <row r="26" spans="1:8" ht="141.75" customHeight="1">
      <c r="A26" s="10" t="s">
        <v>585</v>
      </c>
      <c r="B26" s="10" t="s">
        <v>317</v>
      </c>
      <c r="C26" s="10" t="s">
        <v>318</v>
      </c>
      <c r="D26" s="10" t="s">
        <v>319</v>
      </c>
      <c r="E26" s="10" t="s">
        <v>262</v>
      </c>
      <c r="F26" s="63" t="s">
        <v>45</v>
      </c>
      <c r="G26" s="64">
        <v>46325</v>
      </c>
      <c r="H26" s="9" t="s">
        <v>313</v>
      </c>
    </row>
    <row r="27" spans="1:8" ht="141.75" customHeight="1">
      <c r="A27" s="9" t="s">
        <v>586</v>
      </c>
      <c r="B27" s="9" t="s">
        <v>320</v>
      </c>
      <c r="C27" s="9" t="s">
        <v>321</v>
      </c>
      <c r="D27" s="9" t="s">
        <v>322</v>
      </c>
      <c r="E27" s="9" t="s">
        <v>262</v>
      </c>
      <c r="F27" s="63" t="s">
        <v>45</v>
      </c>
      <c r="G27" s="64">
        <v>46325</v>
      </c>
      <c r="H27" s="9" t="s">
        <v>692</v>
      </c>
    </row>
    <row r="28" spans="1:8" ht="139.5" customHeight="1">
      <c r="A28" s="10" t="s">
        <v>587</v>
      </c>
      <c r="B28" s="10" t="s">
        <v>323</v>
      </c>
      <c r="C28" s="10" t="s">
        <v>693</v>
      </c>
      <c r="D28" s="10" t="s">
        <v>324</v>
      </c>
      <c r="E28" s="10" t="s">
        <v>262</v>
      </c>
      <c r="F28" s="63" t="s">
        <v>45</v>
      </c>
      <c r="G28" s="64">
        <v>46325</v>
      </c>
      <c r="H28" s="9" t="s">
        <v>313</v>
      </c>
    </row>
    <row r="29" spans="1:8" ht="139.5" customHeight="1">
      <c r="A29" s="9" t="s">
        <v>588</v>
      </c>
      <c r="B29" s="9" t="s">
        <v>325</v>
      </c>
      <c r="C29" s="9" t="s">
        <v>694</v>
      </c>
      <c r="D29" s="9" t="s">
        <v>326</v>
      </c>
      <c r="E29" s="9" t="s">
        <v>262</v>
      </c>
      <c r="F29" s="63" t="s">
        <v>45</v>
      </c>
      <c r="G29" s="64">
        <v>46325</v>
      </c>
      <c r="H29" s="9" t="s">
        <v>327</v>
      </c>
    </row>
    <row r="30" spans="1:8" ht="139.5" customHeight="1">
      <c r="A30" s="10" t="s">
        <v>589</v>
      </c>
      <c r="B30" s="10" t="s">
        <v>328</v>
      </c>
      <c r="C30" s="10" t="s">
        <v>329</v>
      </c>
      <c r="D30" s="10" t="s">
        <v>330</v>
      </c>
      <c r="E30" s="10" t="s">
        <v>262</v>
      </c>
      <c r="F30" s="63" t="s">
        <v>45</v>
      </c>
      <c r="G30" s="64">
        <v>46325</v>
      </c>
      <c r="H30" s="9" t="s">
        <v>327</v>
      </c>
    </row>
    <row r="31" spans="1:8" ht="139.5" customHeight="1">
      <c r="A31" s="9" t="s">
        <v>590</v>
      </c>
      <c r="B31" s="9" t="s">
        <v>331</v>
      </c>
      <c r="C31" s="9" t="s">
        <v>332</v>
      </c>
      <c r="D31" s="9" t="s">
        <v>333</v>
      </c>
      <c r="E31" s="9" t="s">
        <v>262</v>
      </c>
      <c r="F31" s="63" t="s">
        <v>45</v>
      </c>
      <c r="G31" s="64">
        <v>46325</v>
      </c>
      <c r="H31" s="9" t="s">
        <v>327</v>
      </c>
    </row>
    <row r="32" spans="1:8" ht="139.5" customHeight="1">
      <c r="A32" s="10" t="s">
        <v>591</v>
      </c>
      <c r="B32" s="10" t="s">
        <v>334</v>
      </c>
      <c r="C32" s="10" t="s">
        <v>335</v>
      </c>
      <c r="D32" s="10" t="s">
        <v>336</v>
      </c>
      <c r="E32" s="10" t="s">
        <v>262</v>
      </c>
      <c r="F32" s="63" t="s">
        <v>45</v>
      </c>
      <c r="G32" s="64">
        <v>46325</v>
      </c>
      <c r="H32" s="9" t="s">
        <v>327</v>
      </c>
    </row>
    <row r="33" spans="1:8" ht="139.5" customHeight="1">
      <c r="A33" s="9" t="s">
        <v>592</v>
      </c>
      <c r="B33" s="9" t="s">
        <v>337</v>
      </c>
      <c r="C33" s="9" t="s">
        <v>338</v>
      </c>
      <c r="D33" s="9" t="s">
        <v>339</v>
      </c>
      <c r="E33" s="9" t="s">
        <v>262</v>
      </c>
      <c r="F33" s="63" t="s">
        <v>45</v>
      </c>
      <c r="G33" s="64">
        <v>46325</v>
      </c>
      <c r="H33" s="9" t="s">
        <v>327</v>
      </c>
    </row>
    <row r="34" spans="1:8" ht="15.75" customHeight="1"/>
    <row r="35" spans="1:8" ht="15.75" customHeight="1"/>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conditionalFormatting sqref="F9:F33">
    <cfRule type="containsText" dxfId="3" priority="1" operator="containsText" text="Passed">
      <formula>NOT(ISERROR(SEARCH(("Passed"),(F9))))</formula>
    </cfRule>
    <cfRule type="containsText" dxfId="2" priority="2" operator="containsText" text="Failed">
      <formula>NOT(ISERROR(SEARCH(("Failed"),(F9))))</formula>
    </cfRule>
    <cfRule type="containsText" dxfId="1" priority="3" operator="containsText" text="Blocked">
      <formula>NOT(ISERROR(SEARCH(("Blocked"),(F9))))</formula>
    </cfRule>
    <cfRule type="containsText" dxfId="0" priority="4" operator="containsText" text="Skipped">
      <formula>NOT(ISERROR(SEARCH(("Skipped"),(F9))))</formula>
    </cfRule>
  </conditionalFormatting>
  <dataValidations count="1">
    <dataValidation type="list" allowBlank="1" sqref="F9:F33" xr:uid="{094D1D0D-D2FA-4E32-B185-E989067C388A}">
      <formula1>"Passed,Failed,Untested,Blocked,Skipped"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65"/>
  <sheetViews>
    <sheetView showGridLines="0" zoomScale="60" zoomScaleNormal="60" workbookViewId="0">
      <pane ySplit="4" topLeftCell="A20" activePane="bottomLeft" state="frozen"/>
      <selection pane="bottomLeft" activeCell="D17" sqref="D17"/>
    </sheetView>
  </sheetViews>
  <sheetFormatPr defaultColWidth="12.59765625" defaultRowHeight="13.8"/>
  <cols>
    <col min="1" max="1" width="26" customWidth="1"/>
    <col min="2" max="2" width="52" customWidth="1"/>
    <col min="3" max="3" width="62" customWidth="1"/>
    <col min="4" max="4" width="61" customWidth="1"/>
    <col min="5" max="5" width="48" customWidth="1"/>
    <col min="6" max="6" width="36" customWidth="1"/>
    <col min="7" max="26" width="8.59765625" customWidth="1"/>
  </cols>
  <sheetData>
    <row r="1" spans="1:6">
      <c r="A1" s="1"/>
      <c r="B1" s="1"/>
      <c r="C1" s="1"/>
      <c r="D1" s="1"/>
      <c r="E1" s="1"/>
      <c r="F1" s="1"/>
    </row>
    <row r="2" spans="1:6" ht="42" customHeight="1">
      <c r="A2" s="54" t="s">
        <v>340</v>
      </c>
      <c r="B2" s="47"/>
      <c r="C2" s="47"/>
      <c r="D2" s="47"/>
      <c r="E2" s="47"/>
      <c r="F2" s="47"/>
    </row>
    <row r="3" spans="1:6">
      <c r="A3" s="1"/>
      <c r="B3" s="1"/>
      <c r="C3" s="1"/>
      <c r="D3" s="1"/>
      <c r="E3" s="1"/>
      <c r="F3" s="1"/>
    </row>
    <row r="4" spans="1:6" ht="31.5" customHeight="1">
      <c r="A4" s="6" t="s">
        <v>59</v>
      </c>
      <c r="B4" s="6" t="s">
        <v>60</v>
      </c>
      <c r="C4" s="6" t="s">
        <v>61</v>
      </c>
      <c r="D4" s="6" t="s">
        <v>62</v>
      </c>
      <c r="E4" s="6" t="s">
        <v>63</v>
      </c>
      <c r="F4" s="6" t="s">
        <v>64</v>
      </c>
    </row>
    <row r="5" spans="1:6" ht="99.6" customHeight="1">
      <c r="A5" s="4" t="s">
        <v>341</v>
      </c>
      <c r="B5" s="12" t="s">
        <v>465</v>
      </c>
      <c r="C5" s="4" t="s">
        <v>467</v>
      </c>
      <c r="D5" s="4" t="s">
        <v>65</v>
      </c>
      <c r="E5" s="4" t="s">
        <v>342</v>
      </c>
      <c r="F5" s="4" t="s">
        <v>468</v>
      </c>
    </row>
    <row r="6" spans="1:6" ht="109.5" customHeight="1">
      <c r="A6" s="4" t="s">
        <v>66</v>
      </c>
      <c r="B6" s="4" t="s">
        <v>343</v>
      </c>
      <c r="C6" s="4" t="s">
        <v>344</v>
      </c>
      <c r="D6" s="4" t="s">
        <v>345</v>
      </c>
      <c r="E6" s="4" t="s">
        <v>346</v>
      </c>
      <c r="F6" s="4" t="s">
        <v>347</v>
      </c>
    </row>
    <row r="7" spans="1:6" ht="109.5" customHeight="1">
      <c r="A7" s="4" t="s">
        <v>348</v>
      </c>
      <c r="B7" s="4" t="s">
        <v>349</v>
      </c>
      <c r="C7" s="4" t="s">
        <v>350</v>
      </c>
      <c r="D7" s="4" t="s">
        <v>351</v>
      </c>
      <c r="E7" s="4" t="s">
        <v>352</v>
      </c>
      <c r="F7" s="4" t="s">
        <v>353</v>
      </c>
    </row>
    <row r="8" spans="1:6" ht="109.5" customHeight="1">
      <c r="A8" s="4" t="s">
        <v>354</v>
      </c>
      <c r="B8" s="4" t="s">
        <v>355</v>
      </c>
      <c r="C8" s="4" t="s">
        <v>356</v>
      </c>
      <c r="D8" s="4" t="s">
        <v>594</v>
      </c>
      <c r="E8" s="4" t="s">
        <v>357</v>
      </c>
      <c r="F8" s="4" t="s">
        <v>358</v>
      </c>
    </row>
    <row r="9" spans="1:6" ht="109.5" customHeight="1">
      <c r="A9" s="4" t="s">
        <v>359</v>
      </c>
      <c r="B9" s="4" t="s">
        <v>360</v>
      </c>
      <c r="C9" s="4" t="s">
        <v>361</v>
      </c>
      <c r="D9" s="4" t="s">
        <v>595</v>
      </c>
      <c r="E9" s="4" t="s">
        <v>362</v>
      </c>
      <c r="F9" s="4" t="s">
        <v>363</v>
      </c>
    </row>
    <row r="10" spans="1:6" ht="109.5" customHeight="1">
      <c r="A10" s="4" t="s">
        <v>364</v>
      </c>
      <c r="B10" s="4" t="s">
        <v>365</v>
      </c>
      <c r="C10" s="4" t="s">
        <v>366</v>
      </c>
      <c r="D10" s="4" t="s">
        <v>596</v>
      </c>
      <c r="E10" s="4" t="s">
        <v>362</v>
      </c>
      <c r="F10" s="4" t="s">
        <v>367</v>
      </c>
    </row>
    <row r="11" spans="1:6" ht="109.5" customHeight="1">
      <c r="A11" s="4" t="s">
        <v>368</v>
      </c>
      <c r="B11" s="4" t="s">
        <v>369</v>
      </c>
      <c r="C11" s="4" t="s">
        <v>370</v>
      </c>
      <c r="D11" s="4" t="s">
        <v>597</v>
      </c>
      <c r="E11" s="4" t="s">
        <v>371</v>
      </c>
      <c r="F11" s="4" t="s">
        <v>372</v>
      </c>
    </row>
    <row r="12" spans="1:6" ht="109.5" customHeight="1">
      <c r="A12" s="4" t="s">
        <v>373</v>
      </c>
      <c r="B12" s="4" t="s">
        <v>374</v>
      </c>
      <c r="C12" s="4" t="s">
        <v>375</v>
      </c>
      <c r="D12" s="4" t="s">
        <v>598</v>
      </c>
      <c r="E12" s="4" t="s">
        <v>376</v>
      </c>
      <c r="F12" s="4" t="s">
        <v>377</v>
      </c>
    </row>
    <row r="13" spans="1:6" ht="114.6" customHeight="1">
      <c r="A13" s="4" t="s">
        <v>378</v>
      </c>
      <c r="B13" s="4" t="s">
        <v>379</v>
      </c>
      <c r="C13" s="4" t="s">
        <v>380</v>
      </c>
      <c r="D13" s="4" t="s">
        <v>599</v>
      </c>
      <c r="E13" s="4" t="s">
        <v>381</v>
      </c>
      <c r="F13" s="4" t="s">
        <v>382</v>
      </c>
    </row>
    <row r="14" spans="1:6" ht="109.5" customHeight="1">
      <c r="A14" s="4" t="s">
        <v>383</v>
      </c>
      <c r="B14" s="4" t="s">
        <v>384</v>
      </c>
      <c r="C14" s="4" t="s">
        <v>385</v>
      </c>
      <c r="D14" s="4" t="s">
        <v>600</v>
      </c>
      <c r="E14" s="4" t="s">
        <v>386</v>
      </c>
      <c r="F14" s="4" t="s">
        <v>387</v>
      </c>
    </row>
    <row r="15" spans="1:6" ht="109.5" customHeight="1">
      <c r="A15" s="4" t="s">
        <v>388</v>
      </c>
      <c r="B15" s="4" t="s">
        <v>389</v>
      </c>
      <c r="C15" s="4" t="s">
        <v>390</v>
      </c>
      <c r="D15" s="4" t="s">
        <v>601</v>
      </c>
      <c r="E15" s="4" t="s">
        <v>391</v>
      </c>
      <c r="F15" s="4" t="s">
        <v>392</v>
      </c>
    </row>
    <row r="16" spans="1:6" ht="109.5" customHeight="1">
      <c r="A16" s="4" t="s">
        <v>393</v>
      </c>
      <c r="B16" s="4" t="s">
        <v>394</v>
      </c>
      <c r="C16" s="4" t="s">
        <v>395</v>
      </c>
      <c r="D16" s="4" t="s">
        <v>592</v>
      </c>
      <c r="E16" s="4" t="s">
        <v>396</v>
      </c>
      <c r="F16" s="4" t="s">
        <v>397</v>
      </c>
    </row>
    <row r="17" spans="1:6" ht="109.5" customHeight="1">
      <c r="A17" s="4" t="s">
        <v>398</v>
      </c>
      <c r="B17" s="4" t="s">
        <v>399</v>
      </c>
      <c r="C17" s="4" t="s">
        <v>400</v>
      </c>
      <c r="D17" s="4" t="s">
        <v>602</v>
      </c>
      <c r="E17" s="4" t="s">
        <v>401</v>
      </c>
      <c r="F17" s="4" t="s">
        <v>402</v>
      </c>
    </row>
    <row r="18" spans="1:6" ht="115.2" customHeight="1">
      <c r="A18" s="4" t="s">
        <v>403</v>
      </c>
      <c r="B18" s="4" t="s">
        <v>469</v>
      </c>
      <c r="C18" s="4" t="s">
        <v>404</v>
      </c>
      <c r="D18" s="4" t="s">
        <v>603</v>
      </c>
      <c r="E18" s="4" t="s">
        <v>405</v>
      </c>
      <c r="F18" s="4" t="s">
        <v>406</v>
      </c>
    </row>
    <row r="19" spans="1:6" ht="109.5" customHeight="1">
      <c r="A19" s="4" t="s">
        <v>407</v>
      </c>
      <c r="B19" s="4" t="s">
        <v>408</v>
      </c>
      <c r="C19" s="4" t="s">
        <v>409</v>
      </c>
      <c r="D19" s="4" t="s">
        <v>603</v>
      </c>
      <c r="E19" s="4" t="s">
        <v>410</v>
      </c>
      <c r="F19" s="4" t="s">
        <v>411</v>
      </c>
    </row>
    <row r="20" spans="1:6" ht="109.5" customHeight="1">
      <c r="A20" s="4" t="s">
        <v>412</v>
      </c>
      <c r="B20" s="4" t="s">
        <v>413</v>
      </c>
      <c r="C20" s="4" t="s">
        <v>414</v>
      </c>
      <c r="D20" s="4" t="s">
        <v>604</v>
      </c>
      <c r="E20" s="4" t="s">
        <v>415</v>
      </c>
      <c r="F20" s="4" t="s">
        <v>416</v>
      </c>
    </row>
    <row r="21" spans="1:6" ht="109.5" customHeight="1">
      <c r="A21" s="4" t="s">
        <v>417</v>
      </c>
      <c r="B21" s="4" t="s">
        <v>418</v>
      </c>
      <c r="C21" s="4" t="s">
        <v>419</v>
      </c>
      <c r="D21" s="4" t="s">
        <v>420</v>
      </c>
      <c r="E21" s="4" t="s">
        <v>421</v>
      </c>
      <c r="F21" s="4" t="s">
        <v>422</v>
      </c>
    </row>
    <row r="22" spans="1:6" ht="15.75" customHeight="1">
      <c r="A22" s="1"/>
      <c r="B22" s="1"/>
      <c r="C22" s="1"/>
      <c r="D22" s="1"/>
      <c r="E22" s="1"/>
      <c r="F22" s="1"/>
    </row>
    <row r="23" spans="1:6" ht="15.75" customHeight="1">
      <c r="A23" s="6" t="s">
        <v>67</v>
      </c>
      <c r="B23" s="6" t="s">
        <v>68</v>
      </c>
      <c r="C23" s="6" t="s">
        <v>69</v>
      </c>
      <c r="D23" s="1"/>
      <c r="E23" s="1"/>
      <c r="F23" s="1"/>
    </row>
    <row r="24" spans="1:6" ht="69.75" customHeight="1">
      <c r="A24" s="4" t="s">
        <v>423</v>
      </c>
      <c r="B24" s="28" t="s">
        <v>23</v>
      </c>
      <c r="C24" s="12" t="s">
        <v>433</v>
      </c>
      <c r="D24" s="1"/>
      <c r="E24" s="1"/>
      <c r="F24" s="1"/>
    </row>
    <row r="25" spans="1:6" ht="69.75" customHeight="1">
      <c r="A25" s="4" t="s">
        <v>424</v>
      </c>
      <c r="B25" s="28" t="s">
        <v>425</v>
      </c>
      <c r="C25" s="12" t="s">
        <v>434</v>
      </c>
      <c r="D25" s="1"/>
      <c r="E25" s="1"/>
      <c r="F25" s="1"/>
    </row>
    <row r="26" spans="1:6" ht="69.75" customHeight="1">
      <c r="A26" s="4" t="s">
        <v>426</v>
      </c>
      <c r="B26" s="28" t="s">
        <v>427</v>
      </c>
      <c r="C26" s="12" t="s">
        <v>435</v>
      </c>
      <c r="D26" s="1"/>
      <c r="E26" s="1"/>
      <c r="F26" s="1"/>
    </row>
    <row r="27" spans="1:6" ht="69.75" customHeight="1">
      <c r="A27" s="4" t="s">
        <v>428</v>
      </c>
      <c r="B27" s="28" t="s">
        <v>429</v>
      </c>
      <c r="C27" s="12" t="s">
        <v>436</v>
      </c>
      <c r="D27" s="1"/>
      <c r="E27" s="1"/>
      <c r="F27" s="1"/>
    </row>
    <row r="28" spans="1:6" ht="69.75" customHeight="1">
      <c r="A28" s="4" t="s">
        <v>430</v>
      </c>
      <c r="B28" s="28" t="s">
        <v>431</v>
      </c>
      <c r="C28" s="12" t="s">
        <v>437</v>
      </c>
      <c r="D28" s="1"/>
      <c r="E28" s="1"/>
      <c r="F28" s="1"/>
    </row>
    <row r="29" spans="1:6" ht="69.75" customHeight="1">
      <c r="A29" s="12" t="s">
        <v>438</v>
      </c>
      <c r="B29" s="28" t="s">
        <v>432</v>
      </c>
      <c r="C29" s="12" t="s">
        <v>439</v>
      </c>
      <c r="D29" s="1"/>
      <c r="E29" s="1"/>
      <c r="F29" s="1"/>
    </row>
    <row r="30" spans="1:6" ht="15.75" customHeight="1">
      <c r="A30" s="1"/>
      <c r="B30" s="1"/>
      <c r="C30" s="1"/>
      <c r="D30" s="1"/>
      <c r="E30" s="1"/>
      <c r="F30" s="1"/>
    </row>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sheetData>
  <mergeCells count="1">
    <mergeCell ref="A2:F2"/>
  </mergeCells>
  <hyperlinks>
    <hyperlink ref="B24" r:id="rId1" xr:uid="{62A703F4-3291-4E0C-BB26-4E4DBDF2E630}"/>
    <hyperlink ref="B25" r:id="rId2" xr:uid="{D32ED5B7-2F03-4537-A140-9FA396F10291}"/>
    <hyperlink ref="B26" r:id="rId3" xr:uid="{D765EC36-3AD7-432C-9B2B-1C1B3CFD57FA}"/>
    <hyperlink ref="B27" r:id="rId4" xr:uid="{5FFA2BF2-A8E1-4E10-9DB8-297348357F65}"/>
    <hyperlink ref="B28" r:id="rId5" xr:uid="{01E73FCB-1560-46C4-8E74-2B48F513FFC9}"/>
    <hyperlink ref="B29" r:id="rId6" xr:uid="{DC2F7294-D76F-49A3-A21F-6E73DCA252D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showGridLines="0" zoomScale="70" zoomScaleNormal="70" workbookViewId="0">
      <pane ySplit="4" topLeftCell="A12" activePane="bottomLeft" state="frozen"/>
      <selection pane="bottomLeft" activeCell="F11" sqref="F11"/>
    </sheetView>
  </sheetViews>
  <sheetFormatPr defaultColWidth="12.59765625" defaultRowHeight="13.8"/>
  <cols>
    <col min="1" max="1" width="9" customWidth="1"/>
    <col min="2" max="2" width="28" customWidth="1"/>
    <col min="3" max="3" width="70" customWidth="1"/>
    <col min="4" max="4" width="62" customWidth="1"/>
    <col min="5" max="5" width="38" customWidth="1"/>
    <col min="6" max="6" width="20" customWidth="1"/>
    <col min="7" max="26" width="8.59765625" customWidth="1"/>
  </cols>
  <sheetData>
    <row r="1" spans="1:6">
      <c r="A1" s="1"/>
      <c r="B1" s="1"/>
      <c r="C1" s="1"/>
      <c r="D1" s="1"/>
      <c r="E1" s="1"/>
      <c r="F1" s="1"/>
    </row>
    <row r="2" spans="1:6" ht="42" customHeight="1">
      <c r="A2" s="46" t="s">
        <v>70</v>
      </c>
      <c r="B2" s="47"/>
      <c r="C2" s="47"/>
      <c r="D2" s="47"/>
      <c r="E2" s="47"/>
      <c r="F2" s="47"/>
    </row>
    <row r="3" spans="1:6">
      <c r="A3" s="1"/>
      <c r="B3" s="1"/>
      <c r="C3" s="1"/>
      <c r="D3" s="1"/>
      <c r="E3" s="1"/>
      <c r="F3" s="1"/>
    </row>
    <row r="4" spans="1:6">
      <c r="A4" s="6" t="s">
        <v>28</v>
      </c>
      <c r="B4" s="6" t="s">
        <v>71</v>
      </c>
      <c r="C4" s="6" t="s">
        <v>72</v>
      </c>
      <c r="D4" s="6" t="s">
        <v>73</v>
      </c>
      <c r="E4" s="6" t="s">
        <v>74</v>
      </c>
      <c r="F4" s="6" t="s">
        <v>75</v>
      </c>
    </row>
    <row r="5" spans="1:6" ht="150" customHeight="1">
      <c r="A5" s="4">
        <v>1</v>
      </c>
      <c r="B5" s="4" t="s">
        <v>470</v>
      </c>
      <c r="C5" s="12" t="s">
        <v>471</v>
      </c>
      <c r="D5" s="4" t="s">
        <v>472</v>
      </c>
      <c r="E5" s="4" t="s">
        <v>473</v>
      </c>
      <c r="F5" s="8" t="s">
        <v>651</v>
      </c>
    </row>
    <row r="6" spans="1:6" ht="150" customHeight="1">
      <c r="A6" s="4">
        <v>2</v>
      </c>
      <c r="B6" s="4" t="s">
        <v>474</v>
      </c>
      <c r="C6" s="4" t="s">
        <v>475</v>
      </c>
      <c r="D6" s="4" t="s">
        <v>476</v>
      </c>
      <c r="E6" s="4" t="s">
        <v>477</v>
      </c>
      <c r="F6" s="8" t="s">
        <v>652</v>
      </c>
    </row>
    <row r="7" spans="1:6" ht="150" customHeight="1">
      <c r="A7" s="4">
        <v>3</v>
      </c>
      <c r="B7" s="4" t="s">
        <v>478</v>
      </c>
      <c r="C7" s="4" t="s">
        <v>479</v>
      </c>
      <c r="D7" s="4" t="s">
        <v>480</v>
      </c>
      <c r="E7" s="4" t="s">
        <v>481</v>
      </c>
      <c r="F7" s="8" t="s">
        <v>653</v>
      </c>
    </row>
    <row r="8" spans="1:6" ht="150" customHeight="1">
      <c r="A8" s="4">
        <v>4</v>
      </c>
      <c r="B8" s="4" t="s">
        <v>482</v>
      </c>
      <c r="C8" s="4" t="s">
        <v>483</v>
      </c>
      <c r="D8" s="4" t="s">
        <v>484</v>
      </c>
      <c r="E8" s="4" t="s">
        <v>485</v>
      </c>
      <c r="F8" s="8" t="s">
        <v>654</v>
      </c>
    </row>
    <row r="9" spans="1:6" ht="150" customHeight="1">
      <c r="A9" s="4">
        <v>5</v>
      </c>
      <c r="B9" s="4" t="s">
        <v>486</v>
      </c>
      <c r="C9" s="4" t="s">
        <v>487</v>
      </c>
      <c r="D9" s="4" t="s">
        <v>488</v>
      </c>
      <c r="E9" s="4" t="s">
        <v>489</v>
      </c>
      <c r="F9" s="8" t="s">
        <v>654</v>
      </c>
    </row>
    <row r="10" spans="1:6" ht="150" customHeight="1">
      <c r="A10" s="4">
        <v>6</v>
      </c>
      <c r="B10" s="4" t="s">
        <v>490</v>
      </c>
      <c r="C10" s="4" t="s">
        <v>605</v>
      </c>
      <c r="D10" s="4" t="s">
        <v>491</v>
      </c>
      <c r="E10" s="4" t="s">
        <v>492</v>
      </c>
      <c r="F10" s="8" t="s">
        <v>654</v>
      </c>
    </row>
    <row r="11" spans="1:6" ht="150" customHeight="1">
      <c r="A11" s="4">
        <v>7</v>
      </c>
      <c r="B11" s="4" t="s">
        <v>493</v>
      </c>
      <c r="C11" s="4" t="s">
        <v>606</v>
      </c>
      <c r="D11" s="4" t="s">
        <v>494</v>
      </c>
      <c r="E11" s="4" t="s">
        <v>495</v>
      </c>
      <c r="F11" s="8" t="s">
        <v>655</v>
      </c>
    </row>
    <row r="12" spans="1:6" ht="150" customHeight="1">
      <c r="A12" s="4">
        <v>8</v>
      </c>
      <c r="B12" s="4" t="s">
        <v>496</v>
      </c>
      <c r="C12" s="4" t="s">
        <v>607</v>
      </c>
      <c r="D12" s="4" t="s">
        <v>497</v>
      </c>
      <c r="E12" s="4" t="s">
        <v>498</v>
      </c>
      <c r="F12" s="8" t="s">
        <v>656</v>
      </c>
    </row>
    <row r="13" spans="1:6" ht="150" customHeight="1">
      <c r="A13" s="4">
        <v>9</v>
      </c>
      <c r="B13" s="4" t="s">
        <v>499</v>
      </c>
      <c r="C13" s="4" t="s">
        <v>608</v>
      </c>
      <c r="D13" s="4" t="s">
        <v>500</v>
      </c>
      <c r="E13" s="4" t="s">
        <v>501</v>
      </c>
      <c r="F13" s="8" t="s">
        <v>657</v>
      </c>
    </row>
    <row r="14" spans="1:6" ht="150" customHeight="1">
      <c r="A14" s="4">
        <v>10</v>
      </c>
      <c r="B14" s="4" t="s">
        <v>502</v>
      </c>
      <c r="C14" s="4" t="s">
        <v>503</v>
      </c>
      <c r="D14" s="4" t="s">
        <v>504</v>
      </c>
      <c r="E14" s="4" t="s">
        <v>505</v>
      </c>
      <c r="F14" s="8" t="s">
        <v>654</v>
      </c>
    </row>
    <row r="15" spans="1:6" ht="150" customHeight="1">
      <c r="A15" s="4">
        <v>11</v>
      </c>
      <c r="B15" s="4" t="s">
        <v>506</v>
      </c>
      <c r="C15" s="4" t="s">
        <v>507</v>
      </c>
      <c r="D15" s="4" t="s">
        <v>508</v>
      </c>
      <c r="E15" s="4" t="s">
        <v>509</v>
      </c>
      <c r="F15" s="8" t="s">
        <v>658</v>
      </c>
    </row>
    <row r="16" spans="1:6" ht="150" customHeight="1">
      <c r="A16" s="4">
        <v>12</v>
      </c>
      <c r="B16" s="4" t="s">
        <v>510</v>
      </c>
      <c r="C16" s="4" t="s">
        <v>511</v>
      </c>
      <c r="D16" s="4" t="s">
        <v>512</v>
      </c>
      <c r="E16" s="4" t="s">
        <v>513</v>
      </c>
      <c r="F16" s="8" t="s">
        <v>660</v>
      </c>
    </row>
    <row r="17" spans="1:6" ht="150" customHeight="1">
      <c r="A17" s="4">
        <v>13</v>
      </c>
      <c r="B17" s="4" t="s">
        <v>514</v>
      </c>
      <c r="C17" s="4" t="s">
        <v>515</v>
      </c>
      <c r="D17" s="4" t="s">
        <v>516</v>
      </c>
      <c r="E17" s="4" t="s">
        <v>517</v>
      </c>
      <c r="F17" s="8" t="s">
        <v>659</v>
      </c>
    </row>
    <row r="18" spans="1:6">
      <c r="A18" s="1"/>
      <c r="B18" s="1"/>
      <c r="C18" s="1"/>
      <c r="D18" s="1"/>
      <c r="E18" s="1"/>
      <c r="F18" s="1"/>
    </row>
    <row r="19" spans="1:6">
      <c r="A19" s="1"/>
      <c r="B19" s="1"/>
      <c r="C19" s="1"/>
      <c r="D19" s="1"/>
      <c r="E19" s="1"/>
      <c r="F19" s="1"/>
    </row>
    <row r="20" spans="1:6">
      <c r="A20" s="1"/>
      <c r="B20" s="1"/>
      <c r="C20" s="1"/>
      <c r="D20" s="1"/>
      <c r="E20" s="1"/>
      <c r="F20" s="1"/>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ataValidations count="1">
    <dataValidation type="list" sqref="F5:F17" xr:uid="{A1958976-E4C4-4D0B-8C9D-4030CD837BCF}">
      <formula1>"Not Started,In Progress,Done,Blocked"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1000"/>
  <sheetViews>
    <sheetView showGridLines="0" topLeftCell="A10" workbookViewId="0">
      <selection activeCell="E11" sqref="E11:E12"/>
    </sheetView>
  </sheetViews>
  <sheetFormatPr defaultColWidth="12.59765625" defaultRowHeight="13.8"/>
  <cols>
    <col min="1" max="1" width="3" customWidth="1"/>
    <col min="2" max="2" width="7" customWidth="1"/>
    <col min="3" max="3" width="28" customWidth="1"/>
    <col min="4" max="5" width="15" customWidth="1"/>
    <col min="6" max="6" width="17" customWidth="1"/>
    <col min="7" max="8" width="15" customWidth="1"/>
    <col min="9" max="9" width="16" customWidth="1"/>
    <col min="10" max="26" width="8.59765625" customWidth="1"/>
  </cols>
  <sheetData>
    <row r="1" spans="2:9" ht="42" customHeight="1">
      <c r="B1" s="46" t="s">
        <v>76</v>
      </c>
      <c r="C1" s="47"/>
      <c r="D1" s="47"/>
      <c r="E1" s="47"/>
      <c r="F1" s="47"/>
      <c r="G1" s="47"/>
      <c r="H1" s="47"/>
      <c r="I1" s="47"/>
    </row>
    <row r="2" spans="2:9">
      <c r="B2" s="1"/>
      <c r="C2" s="1"/>
      <c r="D2" s="1"/>
      <c r="E2" s="1"/>
      <c r="F2" s="1"/>
      <c r="G2" s="1"/>
      <c r="H2" s="1"/>
      <c r="I2" s="1"/>
    </row>
    <row r="3" spans="2:9">
      <c r="B3" s="48" t="s">
        <v>1</v>
      </c>
      <c r="C3" s="36"/>
      <c r="D3" s="48" t="str">
        <f>Cover!C4</f>
        <v>OrangeHRM Recruitment</v>
      </c>
      <c r="E3" s="36"/>
      <c r="F3" s="36"/>
      <c r="G3" s="36"/>
      <c r="H3" s="36"/>
      <c r="I3" s="36"/>
    </row>
    <row r="4" spans="2:9">
      <c r="B4" s="48" t="s">
        <v>6</v>
      </c>
      <c r="C4" s="36"/>
      <c r="D4" s="48" t="str">
        <f>Cover!C6</f>
        <v>Group01_23130299_NguyenVanThang</v>
      </c>
      <c r="E4" s="36"/>
      <c r="F4" s="36"/>
      <c r="G4" s="36"/>
      <c r="H4" s="36"/>
      <c r="I4" s="36"/>
    </row>
    <row r="5" spans="2:9">
      <c r="B5" s="48" t="s">
        <v>77</v>
      </c>
      <c r="C5" s="36"/>
      <c r="D5" s="57" t="s">
        <v>665</v>
      </c>
      <c r="E5" s="39"/>
      <c r="F5" s="39"/>
      <c r="G5" s="58">
        <v>46318.496458333335</v>
      </c>
      <c r="H5" s="39"/>
      <c r="I5" s="39"/>
    </row>
    <row r="6" spans="2:9">
      <c r="B6" s="48" t="s">
        <v>78</v>
      </c>
      <c r="C6" s="36"/>
      <c r="D6" s="57" t="s">
        <v>666</v>
      </c>
      <c r="E6" s="39"/>
      <c r="F6" s="39"/>
      <c r="G6" s="39"/>
      <c r="H6" s="39"/>
      <c r="I6" s="39"/>
    </row>
    <row r="7" spans="2:9">
      <c r="B7" s="1"/>
      <c r="C7" s="1"/>
      <c r="D7" s="1"/>
      <c r="E7" s="1"/>
      <c r="F7" s="1"/>
      <c r="G7" s="1"/>
      <c r="H7" s="1"/>
      <c r="I7" s="1"/>
    </row>
    <row r="8" spans="2:9">
      <c r="B8" s="1"/>
      <c r="C8" s="1"/>
      <c r="D8" s="1"/>
      <c r="E8" s="1"/>
      <c r="F8" s="1"/>
      <c r="G8" s="1"/>
      <c r="H8" s="1"/>
      <c r="I8" s="1"/>
    </row>
    <row r="9" spans="2:9" ht="31.5" customHeight="1">
      <c r="B9" s="6" t="s">
        <v>28</v>
      </c>
      <c r="C9" s="6" t="s">
        <v>41</v>
      </c>
      <c r="D9" s="6" t="s">
        <v>44</v>
      </c>
      <c r="E9" s="6" t="s">
        <v>45</v>
      </c>
      <c r="F9" s="6" t="s">
        <v>46</v>
      </c>
      <c r="G9" s="6" t="s">
        <v>47</v>
      </c>
      <c r="H9" s="6" t="s">
        <v>48</v>
      </c>
      <c r="I9" s="6" t="s">
        <v>79</v>
      </c>
    </row>
    <row r="10" spans="2:9" ht="30" customHeight="1">
      <c r="B10" s="4">
        <v>1</v>
      </c>
      <c r="C10" s="4" t="s">
        <v>94</v>
      </c>
      <c r="D10" s="4">
        <f>RECRUIT_VAC!A6</f>
        <v>23</v>
      </c>
      <c r="E10" s="4">
        <f>RECRUIT_VAC!B6</f>
        <v>2</v>
      </c>
      <c r="F10" s="4">
        <f>RECRUIT_VAC!C6</f>
        <v>0</v>
      </c>
      <c r="G10" s="4">
        <f>RECRUIT_VAC!D6</f>
        <v>0</v>
      </c>
      <c r="H10" s="4">
        <f>RECRUIT_VAC!E6</f>
        <v>0</v>
      </c>
      <c r="I10" s="4">
        <f>RECRUIT_VAC!F6</f>
        <v>25</v>
      </c>
    </row>
    <row r="11" spans="2:9" ht="30" customHeight="1">
      <c r="B11" s="4">
        <v>2</v>
      </c>
      <c r="C11" s="4" t="s">
        <v>114</v>
      </c>
      <c r="D11" s="4">
        <f>RECRUIT_CAND!A6</f>
        <v>0</v>
      </c>
      <c r="E11" s="4">
        <f>RECRUIT_CAND!B6</f>
        <v>1</v>
      </c>
      <c r="F11" s="4">
        <f>RECRUIT_CAND!C6</f>
        <v>0</v>
      </c>
      <c r="G11" s="4">
        <f>RECRUIT_CAND!D6</f>
        <v>0</v>
      </c>
      <c r="H11" s="4">
        <f>RECRUIT_CAND!E6</f>
        <v>24</v>
      </c>
      <c r="I11" s="4">
        <f>RECRUIT_CAND!F6</f>
        <v>25</v>
      </c>
    </row>
    <row r="12" spans="2:9" ht="30" customHeight="1">
      <c r="B12" s="4">
        <v>3</v>
      </c>
      <c r="C12" s="4" t="s">
        <v>126</v>
      </c>
      <c r="D12" s="4">
        <f>RECRUIT_FLOW!A6</f>
        <v>1</v>
      </c>
      <c r="E12" s="4">
        <f>RECRUIT_FLOW!B6</f>
        <v>23</v>
      </c>
      <c r="F12" s="4">
        <f>RECRUIT_FLOW!C6</f>
        <v>0</v>
      </c>
      <c r="G12" s="4">
        <f>RECRUIT_FLOW!D6</f>
        <v>0</v>
      </c>
      <c r="H12" s="4">
        <f>RECRUIT_FLOW!E6</f>
        <v>1</v>
      </c>
      <c r="I12" s="4">
        <f>RECRUIT_FLOW!F6</f>
        <v>25</v>
      </c>
    </row>
    <row r="13" spans="2:9">
      <c r="B13" s="1"/>
      <c r="C13" s="1"/>
      <c r="D13" s="1"/>
      <c r="E13" s="1"/>
      <c r="F13" s="1"/>
      <c r="G13" s="1"/>
      <c r="H13" s="1"/>
      <c r="I13" s="1"/>
    </row>
    <row r="14" spans="2:9">
      <c r="B14" s="59" t="s">
        <v>79</v>
      </c>
      <c r="C14" s="39"/>
      <c r="D14" s="11">
        <f t="shared" ref="D14:I14" si="0">SUM(D10:D12)</f>
        <v>24</v>
      </c>
      <c r="E14" s="11">
        <f t="shared" si="0"/>
        <v>26</v>
      </c>
      <c r="F14" s="11">
        <f t="shared" si="0"/>
        <v>0</v>
      </c>
      <c r="G14" s="11">
        <f t="shared" si="0"/>
        <v>0</v>
      </c>
      <c r="H14" s="11">
        <f t="shared" si="0"/>
        <v>25</v>
      </c>
      <c r="I14" s="11">
        <f t="shared" si="0"/>
        <v>75</v>
      </c>
    </row>
    <row r="15" spans="2:9">
      <c r="B15" s="1"/>
      <c r="C15" s="1"/>
      <c r="D15" s="1"/>
      <c r="E15" s="1"/>
      <c r="F15" s="1"/>
      <c r="G15" s="1"/>
      <c r="H15" s="1"/>
      <c r="I15" s="1"/>
    </row>
    <row r="16" spans="2:9">
      <c r="B16" s="1"/>
      <c r="C16" s="1"/>
      <c r="D16" s="1"/>
      <c r="E16" s="1"/>
      <c r="F16" s="1"/>
      <c r="G16" s="1"/>
      <c r="H16" s="1"/>
      <c r="I16" s="1"/>
    </row>
    <row r="17" spans="2:9">
      <c r="B17" s="48" t="s">
        <v>80</v>
      </c>
      <c r="C17" s="36"/>
      <c r="D17" s="36"/>
      <c r="E17" s="60">
        <f>IF(I14=0,"",(D14+E14)/I14)</f>
        <v>0.66666666666666663</v>
      </c>
      <c r="F17" s="36"/>
      <c r="G17" s="1"/>
      <c r="H17" s="1"/>
      <c r="I17" s="1"/>
    </row>
    <row r="18" spans="2:9">
      <c r="B18" s="48" t="s">
        <v>81</v>
      </c>
      <c r="C18" s="36"/>
      <c r="D18" s="36"/>
      <c r="E18" s="60">
        <f>IF(D14+E14=0,"Chưa thực thi",D14/(D14+E14))</f>
        <v>0.48</v>
      </c>
      <c r="F18" s="36"/>
      <c r="G18" s="1"/>
      <c r="H18" s="1"/>
      <c r="I18" s="1"/>
    </row>
    <row r="19" spans="2:9">
      <c r="B19" s="1"/>
      <c r="C19" s="1"/>
      <c r="D19" s="1"/>
      <c r="E19" s="1"/>
      <c r="F19" s="1"/>
      <c r="G19" s="1"/>
      <c r="H19" s="1"/>
      <c r="I19" s="1"/>
    </row>
    <row r="20" spans="2:9" ht="39.75" customHeight="1">
      <c r="B20" s="53" t="s">
        <v>82</v>
      </c>
      <c r="C20" s="47"/>
      <c r="D20" s="47"/>
      <c r="E20" s="47"/>
      <c r="F20" s="47"/>
      <c r="G20" s="47"/>
      <c r="H20" s="47"/>
      <c r="I20" s="47"/>
    </row>
    <row r="21" spans="2:9" ht="15.75" customHeight="1">
      <c r="B21" s="1"/>
      <c r="C21" s="1"/>
      <c r="D21" s="1"/>
      <c r="E21" s="1"/>
      <c r="F21" s="1"/>
      <c r="G21" s="1"/>
      <c r="H21" s="1"/>
      <c r="I21" s="1"/>
    </row>
    <row r="22" spans="2:9" ht="39.75" customHeight="1">
      <c r="B22" s="53" t="s">
        <v>83</v>
      </c>
      <c r="C22" s="47"/>
      <c r="D22" s="47"/>
      <c r="E22" s="47"/>
      <c r="F22" s="47"/>
      <c r="G22" s="47"/>
      <c r="H22" s="47"/>
      <c r="I22" s="47"/>
    </row>
    <row r="23" spans="2:9" ht="15.75" customHeight="1">
      <c r="B23" s="1"/>
      <c r="C23" s="1"/>
      <c r="D23" s="1"/>
      <c r="E23" s="1"/>
      <c r="F23" s="1"/>
      <c r="G23" s="1"/>
      <c r="H23" s="1"/>
      <c r="I23" s="1"/>
    </row>
    <row r="24" spans="2:9" ht="15.75" customHeight="1"/>
    <row r="25" spans="2:9" ht="15.75" customHeight="1"/>
    <row r="26" spans="2:9" ht="15.75" customHeight="1"/>
    <row r="27" spans="2:9" ht="15.75" customHeight="1"/>
    <row r="28" spans="2:9" ht="15.75" customHeight="1"/>
    <row r="29" spans="2:9" ht="15.75" customHeight="1"/>
    <row r="30" spans="2:9" ht="15.75" customHeight="1"/>
    <row r="31" spans="2:9" ht="15.75" customHeight="1"/>
    <row r="32" spans="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D5:F5"/>
    <mergeCell ref="G5:I5"/>
    <mergeCell ref="D6:I6"/>
    <mergeCell ref="B20:I20"/>
    <mergeCell ref="B22:I22"/>
    <mergeCell ref="B5:C5"/>
    <mergeCell ref="B6:C6"/>
    <mergeCell ref="B14:C14"/>
    <mergeCell ref="B17:D17"/>
    <mergeCell ref="E17:F17"/>
    <mergeCell ref="B18:D18"/>
    <mergeCell ref="E18:F18"/>
    <mergeCell ref="B1:I1"/>
    <mergeCell ref="B3:C3"/>
    <mergeCell ref="D3:I3"/>
    <mergeCell ref="B4:C4"/>
    <mergeCell ref="D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Test case List</vt:lpstr>
      <vt:lpstr>TestDesign</vt:lpstr>
      <vt:lpstr>RECRUIT_VAC</vt:lpstr>
      <vt:lpstr>RECRUIT_CAND</vt:lpstr>
      <vt:lpstr>RECRUIT_FLOW</vt:lpstr>
      <vt:lpstr>Test Data</vt:lpstr>
      <vt:lpstr>Automation Plan</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Ground John</cp:lastModifiedBy>
  <dcterms:modified xsi:type="dcterms:W3CDTF">2026-10-30T12:22:36Z</dcterms:modified>
</cp:coreProperties>
</file>