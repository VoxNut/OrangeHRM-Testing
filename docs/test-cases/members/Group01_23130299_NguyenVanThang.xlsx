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dmin\IdeaProjects\OrangeHRM-Testing\docs\test-cases\members\"/>
    </mc:Choice>
  </mc:AlternateContent>
  <xr:revisionPtr revIDLastSave="0" documentId="13_ncr:1_{E4EC5761-3207-479C-8090-CBC40704B205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Cover" sheetId="1" r:id="rId1"/>
    <sheet name="Test case List" sheetId="2" r:id="rId2"/>
    <sheet name="TestDesign" sheetId="3" r:id="rId3"/>
    <sheet name="RECRUIT_VAC" sheetId="4" r:id="rId4"/>
    <sheet name="RECRUIT_CAND" sheetId="5" r:id="rId5"/>
    <sheet name="RECRUIT_FLOW" sheetId="6" r:id="rId6"/>
    <sheet name="Test Data" sheetId="7" r:id="rId7"/>
    <sheet name="Automation Plan" sheetId="8" r:id="rId8"/>
    <sheet name="Test Repo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D3" i="9"/>
  <c r="F6" i="6"/>
  <c r="I12" i="9" s="1"/>
  <c r="E6" i="6"/>
  <c r="H12" i="9" s="1"/>
  <c r="D6" i="6"/>
  <c r="G12" i="9" s="1"/>
  <c r="C6" i="6"/>
  <c r="F12" i="9" s="1"/>
  <c r="B6" i="6"/>
  <c r="E12" i="9" s="1"/>
  <c r="A6" i="6"/>
  <c r="D12" i="9" s="1"/>
  <c r="F6" i="5"/>
  <c r="I11" i="9" s="1"/>
  <c r="E6" i="5"/>
  <c r="H11" i="9" s="1"/>
  <c r="D6" i="5"/>
  <c r="G11" i="9" s="1"/>
  <c r="C6" i="5"/>
  <c r="F11" i="9" s="1"/>
  <c r="B6" i="5"/>
  <c r="E11" i="9" s="1"/>
  <c r="A6" i="5"/>
  <c r="D11" i="9" s="1"/>
  <c r="F6" i="4"/>
  <c r="I10" i="9" s="1"/>
  <c r="E6" i="4"/>
  <c r="H10" i="9" s="1"/>
  <c r="D6" i="4"/>
  <c r="G10" i="9" s="1"/>
  <c r="C6" i="4"/>
  <c r="F10" i="9" s="1"/>
  <c r="B6" i="4"/>
  <c r="E10" i="9" s="1"/>
  <c r="A6" i="4"/>
  <c r="D10" i="9" s="1"/>
  <c r="D5" i="2"/>
  <c r="D4" i="2"/>
  <c r="G14" i="9" l="1"/>
  <c r="H14" i="9"/>
  <c r="D14" i="9"/>
  <c r="I14" i="9"/>
  <c r="F14" i="9"/>
  <c r="E14" i="9"/>
  <c r="E17" i="9" l="1"/>
  <c r="E18" i="9"/>
</calcChain>
</file>

<file path=xl/sharedStrings.xml><?xml version="1.0" encoding="utf-8"?>
<sst xmlns="http://schemas.openxmlformats.org/spreadsheetml/2006/main" count="968" uniqueCount="692">
  <si>
    <t>TEST CASE</t>
  </si>
  <si>
    <t>Project Name</t>
  </si>
  <si>
    <t>Creator</t>
  </si>
  <si>
    <t>Project Code</t>
  </si>
  <si>
    <t>Group01_OrangeHRM</t>
  </si>
  <si>
    <t>Reviewer / Approver</t>
  </si>
  <si>
    <t>Document Code</t>
  </si>
  <si>
    <t>Issue Date</t>
  </si>
  <si>
    <t>Version</t>
  </si>
  <si>
    <t>1.0</t>
  </si>
  <si>
    <t>Record of change</t>
  </si>
  <si>
    <t>Effective Date</t>
  </si>
  <si>
    <t>Change Item</t>
  </si>
  <si>
    <t>A, D, M</t>
  </si>
  <si>
    <t>Change description</t>
  </si>
  <si>
    <t>Reference</t>
  </si>
  <si>
    <t>A</t>
  </si>
  <si>
    <t>ASM06 – Group01</t>
  </si>
  <si>
    <t>Student ID</t>
  </si>
  <si>
    <t>Group</t>
  </si>
  <si>
    <t>Group01</t>
  </si>
  <si>
    <t>Role</t>
  </si>
  <si>
    <t>Website</t>
  </si>
  <si>
    <t>https://opensource-demo.orangehrmlive.com/</t>
  </si>
  <si>
    <t>Automation tool</t>
  </si>
  <si>
    <t>Scope</t>
  </si>
  <si>
    <t>TEST CASE LIST</t>
  </si>
  <si>
    <t>Test Environment</t>
  </si>
  <si>
    <t>No.</t>
  </si>
  <si>
    <t>Function Name</t>
  </si>
  <si>
    <t>Sheet Name</t>
  </si>
  <si>
    <t>Description</t>
  </si>
  <si>
    <t>Pre-condition</t>
  </si>
  <si>
    <t>Req Level 1</t>
  </si>
  <si>
    <t>Req Level 2</t>
  </si>
  <si>
    <t>Req Level 3</t>
  </si>
  <si>
    <t>Test Criteria</t>
  </si>
  <si>
    <t>Test Type</t>
  </si>
  <si>
    <t>Note</t>
  </si>
  <si>
    <t>Phân vùng tương đương</t>
  </si>
  <si>
    <t>Phân tích giá trị biên</t>
  </si>
  <si>
    <t>Module Code</t>
  </si>
  <si>
    <t>Test requirement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</si>
  <si>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</si>
  <si>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</si>
  <si>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</si>
  <si>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</si>
  <si>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</si>
  <si>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</si>
  <si>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</si>
  <si>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</si>
  <si>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</si>
  <si>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</si>
  <si>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</si>
  <si>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</si>
  <si>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</si>
  <si>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</si>
  <si>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Bỏ trống First Name</t>
  </si>
  <si>
    <t>Bỏ trống Last Name</t>
  </si>
  <si>
    <t>Data ID</t>
  </si>
  <si>
    <t>Giá trị / fixture</t>
  </si>
  <si>
    <t>Cách chuẩn bị</t>
  </si>
  <si>
    <t>Sử dụng</t>
  </si>
  <si>
    <t>Dọn dẹp / khôi phục</t>
  </si>
  <si>
    <t>Quy tắc</t>
  </si>
  <si>
    <t>Toàn bộ 75 TC</t>
  </si>
  <si>
    <t>ACCOUNT</t>
  </si>
  <si>
    <t>Nguồn chính thức</t>
  </si>
  <si>
    <t>URL</t>
  </si>
  <si>
    <t>Nội dung đối chiếu</t>
  </si>
  <si>
    <t>AUTOMATION PLAN</t>
  </si>
  <si>
    <t>Giai đoạn</t>
  </si>
  <si>
    <t>Công việc</t>
  </si>
  <si>
    <t>Assertion / bằng chứng</t>
  </si>
  <si>
    <t>Phạm vi / điều kiện</t>
  </si>
  <si>
    <t>Trạng thái</t>
  </si>
  <si>
    <t>TEST REPORT</t>
  </si>
  <si>
    <t>Run ID / Date</t>
  </si>
  <si>
    <t>Browser / Version</t>
  </si>
  <si>
    <t>Total</t>
  </si>
  <si>
    <t>Execution coverage</t>
  </si>
  <si>
    <t>Pass rate (executed only)</t>
  </si>
  <si>
    <t>Execution coverage = (Passed + Failed) / Total. Pass rate = Passed / (Passed + Failed). Blocked và Skipped không được tính là đã thực thi.</t>
  </si>
  <si>
    <t>Sau run, điền actual result, Defect ID (nếu có), ảnh/log và ngày thực chạy tại sheet test case. Các tổng hợp tự cập nhật từ cột Result.</t>
  </si>
  <si>
    <t>Nguyễn Văn Thắng</t>
  </si>
  <si>
    <t>Thành viên</t>
  </si>
  <si>
    <t>Recruitment test design</t>
  </si>
  <si>
    <t>75 case / 3 chức năng + Automation Plan</t>
  </si>
  <si>
    <t>Group01_23130299_NguyenVanThang</t>
  </si>
  <si>
    <t>OrangeHRM Recruitment</t>
  </si>
  <si>
    <t>RECR_VAC, RECR_CAND, RECR_FLOW</t>
  </si>
  <si>
    <t>Vacancies</t>
  </si>
  <si>
    <t>Candidates</t>
  </si>
  <si>
    <t>Candidate Workflow &amp; Interviews</t>
  </si>
  <si>
    <t>RECRUIT_VAC</t>
  </si>
  <si>
    <t>Tạo vacancy, validation số lượng, Active/Publish, bộ lọc, sửa và hủy.</t>
  </si>
  <si>
    <t>Tạo hồ sơ, email/contact, CV, bộ lọc, sửa và đối chiếu dữ liệu.</t>
  </si>
  <si>
    <t>Shortlist/Reject, Schedule Interview, interviewer, nút hành động, Candidate History.</t>
  </si>
  <si>
    <t>Admin/Recruitment; JOB_A, MANAGER_A/B đang hiệu lực; tên fixture riêng.</t>
  </si>
  <si>
    <t>VAC_A tồn tại, CV test chuẩn bị trước, email example.com.</t>
  </si>
  <si>
    <t>Mỗi nhánh có candidate riêng đúng trạng thái; interviewers còn hiệu lực.</t>
  </si>
  <si>
    <t>Tạo và bắt buộc</t>
  </si>
  <si>
    <t>Tạo tối thiểu/đầy đủ; kiểm tra Job Title, Vacancy Name, Hiring Manager; tên chỉ có whitespace và autocomplete.</t>
  </si>
  <si>
    <t>Phân vùng tương đương / Autocomplete</t>
  </si>
  <si>
    <t>Số vị trí tuyển</t>
  </si>
  <si>
    <t>Biên 0 và 1, số âm và dữ liệu không phải số; điều kiện cần xác nhận theo demo.</t>
  </si>
  <si>
    <t>Active / Publish</t>
  </si>
  <si>
    <t>Phối hợp hai checkbox và lưu trạng thái qua các lần sửa.</t>
  </si>
  <si>
    <t>Chuyển trạng thái</t>
  </si>
  <si>
    <t>Lọc / Reset danh sách</t>
  </si>
  <si>
    <t>Job Title, manager, name, AND 2 điều kiện, không có kết quả và Reset.</t>
  </si>
  <si>
    <t>Bảng quyết định / Phân vùng tương đương</t>
  </si>
  <si>
    <t>Sửa / hủy</t>
  </si>
  <si>
    <t>Thay mô tả, số lượng, manager; Cancel tạo/sửa; đảm bảo baseline không đổi.</t>
  </si>
  <si>
    <t>RECRUIT_CAND</t>
  </si>
  <si>
    <t>Tạo hồ sơ &amp; required</t>
  </si>
  <si>
    <t>Tên, email, vacancy, consent; 3 trường bắt buộc và dữ liệu tối thiểu/đầy đủ.</t>
  </si>
  <si>
    <t>Email / contact</t>
  </si>
  <si>
    <t>Email hợp lệ/invalid; contact có và không hợp lệ; giữ số 0 đầu.</t>
  </si>
  <si>
    <t>CV &amp; file upload</t>
  </si>
  <si>
    <t>PDF, DOCX, EXE, quá giới hạn và thao tác Cancel.</t>
  </si>
  <si>
    <t>Giá trị biên / Chuyển trạng thái</t>
  </si>
  <si>
    <t>Lọc ứng viên / Reset</t>
  </si>
  <si>
    <t>Vacancy, Candidate Name, Keywords, Date Range với AND, Reset.</t>
  </si>
  <si>
    <t>Sửa &amp; dữ liệu lưu</t>
  </si>
  <si>
    <t>Keywords/Notes, Cancel edit, đối chiếu hồ sơ sau reload.</t>
  </si>
  <si>
    <t>RECRUIT_FLOW</t>
  </si>
  <si>
    <t>Khởi tạo, shortlist, reject</t>
  </si>
  <si>
    <t>Application Initiated→Shortlisted/Rejected; Reject từ Shortlisted; hủy Shortlist.</t>
  </si>
  <si>
    <t>Lịch phỏng vấn / validation</t>
  </si>
  <si>
    <t>Schedule hợp lệ, Title/Interviewer/Date Required, ngày sai, giờ sai, Notes.</t>
  </si>
  <si>
    <t>Phân vùng tương đương / Biên</t>
  </si>
  <si>
    <t>Interviewer</t>
  </si>
  <si>
    <t>Autocomplete, nhiều interviewer, tên nhân viên không tồn tại.</t>
  </si>
  <si>
    <t>Bảng quyết định / Autocomplete</t>
  </si>
  <si>
    <t>Hành động theo trạng thái</t>
  </si>
  <si>
    <t>Schedule không ở Initiated, có sau Shortlist, đổi khi Scheduled, terminal Rejected, Cancel Reject.</t>
  </si>
  <si>
    <t>Detail / Candidate History</t>
  </si>
  <si>
    <t>Đối chiếu thông tin hồ sơ và chuỗi event khởi tạo/shortlist/reject/schedule.</t>
  </si>
  <si>
    <t>Nguyễn Văn Thắng – 23130299</t>
  </si>
  <si>
    <t>Tạo vacancy với các trường bắt buộc</t>
  </si>
  <si>
    <t>Lưu thành công; hiển thị đúng tên, Job Title, Hiring Manager, Positions=1.</t>
  </si>
  <si>
    <t>Không phụ thuộc test case khác; fixture được thiết lập trước case và khôi phục sau case.</t>
  </si>
  <si>
    <t>Tạo vacancy với đủ thông tin</t>
  </si>
  <si>
    <t>Tên, mô tả, số lượng, manager, Active và Publish giữ đúng giá trị đã lưu.</t>
  </si>
  <si>
    <t>Không chọn Job Title</t>
  </si>
  <si>
    <t>Job Title hiện Required; VAC_RUN03 không được tạo.</t>
  </si>
  <si>
    <t>Để trống Vacancy Name</t>
  </si>
  <si>
    <t>Vacancy Name hiện Required; không tạo vacancy.</t>
  </si>
  <si>
    <t>Không chọn Hiring Manager</t>
  </si>
  <si>
    <t>Hiring Manager hiện Required; không lưu.</t>
  </si>
  <si>
    <t>Tên vacancy chỉ có khoảng trắng</t>
  </si>
  <si>
    <t>Không tạo được vacancy chỉ có khoảng trắng; có lỗi bắt buộc/không hợp lệ.</t>
  </si>
  <si>
    <t>Hiring Manager từ autocomplete</t>
  </si>
  <si>
    <t>Lưu đúng nhân viên từ suggestion, không phải chuỗi tên tự do.</t>
  </si>
  <si>
    <t>Số vị trí tuyển bằng 1</t>
  </si>
  <si>
    <t>Chấp nhận giá trị 1; Positions=1 sau reload.</t>
  </si>
  <si>
    <t>Số vị trí tuyển bằng 0</t>
  </si>
  <si>
    <t>Không chấp nhận 0 nếu quy tắc số lượng phải dương; không tạo VAC_RUN09.</t>
  </si>
  <si>
    <t>Số vị trí tuyển âm</t>
  </si>
  <si>
    <t>Không lưu số âm; UI chặn hoặc hiển thị lỗi.</t>
  </si>
  <si>
    <t>Số vị trí tuyển không phải số</t>
  </si>
  <si>
    <t>Chỉ chấp nhận số; chuỗi 'abc' bị chặn hoặc báo Invalid; không lưu 'abc'.</t>
  </si>
  <si>
    <t>Lưu vacancy Active</t>
  </si>
  <si>
    <t>Active bật và Publish tắt sau reload.</t>
  </si>
  <si>
    <t>Lưu vacancy Inactive</t>
  </si>
  <si>
    <t>Active vẫn tắt sau reload.</t>
  </si>
  <si>
    <t>Lưu vacancy bật Publish</t>
  </si>
  <si>
    <t>Hai checkbox giữ trạng thái On; không suy diễn về cổng tuyển dụng ngoài demo.</t>
  </si>
  <si>
    <t>Đổi Active trên vacancy đã tồn tại</t>
  </si>
  <si>
    <t>Mỗi lần reload phản ánh trạng thái đã lưu; các trường khác không đổi.</t>
  </si>
  <si>
    <t>Tìm vacancy theo Job Title</t>
  </si>
  <si>
    <t>Tìm vacancy theo Hiring Manager</t>
  </si>
  <si>
    <t>VAC_FILTER_A xuất hiện; các dòng có manager phù hợp.</t>
  </si>
  <si>
    <t>Tìm vacancy theo Vacancy Name</t>
  </si>
  <si>
    <t>Có VAC_FILTER_A, không có VAC_FILTER_B.</t>
  </si>
  <si>
    <t>Lọc kết hợp Job Title và Manager</t>
  </si>
  <si>
    <t>Chỉ có vacancy thỏa đồng thời hai điều kiện.</t>
  </si>
  <si>
    <t>Lọc vacancy không tồn tại</t>
  </si>
  <si>
    <t>Không có kết quả hoặc hiển thị No Records Found; không hiện dữ liệu khác.</t>
  </si>
  <si>
    <t>Reset điều kiện lọc vacancy</t>
  </si>
  <si>
    <t>Bộ lọc về mặc định; danh sách trở về trạng thái không lọc.</t>
  </si>
  <si>
    <t>Sửa Description của vacancy</t>
  </si>
  <si>
    <t>Description mới được lưu chính xác; field còn lại giữ baseline.</t>
  </si>
  <si>
    <t>Sửa Positions và Hiring Manager</t>
  </si>
  <si>
    <t>Positions=4 và Hiring Manager=MANAGER_B sau tải lại.</t>
  </si>
  <si>
    <t>Hủy tạo vacancy</t>
  </si>
  <si>
    <t>Không tạo bản ghi VAC_CANCEL_RUN.</t>
  </si>
  <si>
    <t>Hủy sửa vacancy giữ dữ liệu cũ</t>
  </si>
  <si>
    <t>Name và trường khác vẫn đúng baseline; không xuất hiện tên tạm.</t>
  </si>
  <si>
    <t>Tạo ứng viên tối thiểu</t>
  </si>
  <si>
    <t>Tiền điều kiện: Đã đăng nhập Admin/Recruitment; có VAC_A đang hiệu lực; email example.com và fixture hồ sơ riêng theo RUN_ID.
Input: First=An; Last=NguyenRUN01; Email=an.run01@example.com; Vacancy=VAC_A
1. Vào Recruitment &gt; Candidates &gt; Add.
2. Nhập First, Last, Email và chọn VAC_A.
3. Save; trở lại list, tìm đúng email và mở hồ sơ.
Kết thúc: khôi phục / dọn dẹp fixture theo Test Data; không dùng bản ghi của người khác.</t>
  </si>
  <si>
    <t>Tạo được ứng viên; tên, email và vacancy đúng input.</t>
  </si>
  <si>
    <t>TD_RECRUIT_CAND_01
Positive; Phân vùng tương đương
Automation: P1</t>
  </si>
  <si>
    <t>Tạo ứng viên với thông tin đầy đủ</t>
  </si>
  <si>
    <t>Tiền điều kiện: Đã đăng nhập Admin/Recruitment; có VAC_A đang hiệu lực; email example.com và fixture hồ sơ riêng theo RUN_ID.
Input: First=Minh; Middle=Quang; Last=TranRUN02; Email=minh.run02@example.com; Phone=0900000002; Keywords=java,qa; Notes=demo; VAC_A
1. Mở Add Candidate; nhập đủ dữ liệu và chọn VAC_A.
2. Chọn consent theo trạng thái cho phép lưu; Save.
3. Mở hồ sơ.
Kết thúc: khôi phục / dọn dẹp fixture theo Test Data; không dùng bản ghi của người khác.</t>
  </si>
  <si>
    <t>Lưu đúng tên đầy đủ, email, phone, vacancy, keyword và notes.</t>
  </si>
  <si>
    <t>Tiền điều kiện: Đã đăng nhập Admin/Recruitment; có VAC_A đang hiệu lực; email example.com và fixture hồ sơ riêng theo RUN_ID.
Input: First rỗng; Last=NguyenRUN03; Email=run03@example.com
1. Mở Add Candidate, nhập Last và Email; First để rỗng.
2. Save.
Kết thúc: khôi phục / dọn dẹp fixture theo Test Data; không dùng bản ghi của người khác.</t>
  </si>
  <si>
    <t>First Name báo Required; hồ sơ không được tạo.</t>
  </si>
  <si>
    <t>TD_RECRUIT_CAND_01
Negative; Phân vùng tương đương
Automation: P1</t>
  </si>
  <si>
    <t>Tiền điều kiện: Đã đăng nhập Admin/Recruitment; có VAC_A đang hiệu lực; email example.com và fixture hồ sơ riêng theo RUN_ID.
Input: First=An; Last rỗng; Email=run04@example.com
1. Mở Add Candidate, nhập First/Email; Last để rỗng.
2. Save.
Kết thúc: khôi phục / dọn dẹp fixture theo Test Data; không dùng bản ghi của người khác.</t>
  </si>
  <si>
    <t>Last Name báo Required; hồ sơ không được tạo.</t>
  </si>
  <si>
    <t>Bỏ trống Email</t>
  </si>
  <si>
    <t>Tiền điều kiện: Đã đăng nhập Admin/Recruitment; có VAC_A đang hiệu lực; email example.com và fixture hồ sơ riêng theo RUN_ID.
Input: First=An; Last=NguyenRUN05; Email rỗng
1. Mở Add Candidate, nhập First/Last, xóa Email.
2. Save.
Kết thúc: khôi phục / dọn dẹp fixture theo Test Data; không dùng bản ghi của người khác.</t>
  </si>
  <si>
    <t>Email báo Required; hồ sơ không được tạo.</t>
  </si>
  <si>
    <t>Không chọn Vacancy tùy chọn</t>
  </si>
  <si>
    <t>Tiền điều kiện: Đã đăng nhập Admin/Recruitment; có VAC_A đang hiệu lực; email example.com và fixture hồ sơ riêng theo RUN_ID.
Input: First=An; Last=NguyenRUN06; Email=run06@example.com; Vacancy rỗng
1. Mở Add Candidate, điền First/Last/Email.
2. Để trống Vacancy; Save; mở hồ sơ.
Kết thúc: khôi phục / dọn dẹp fixture theo Test Data; không dùng bản ghi của người khác.</t>
  </si>
  <si>
    <t>Nếu demo cho phép vacancy tùy chọn: lưu ứng viên và hiển thị Vacancy rỗng; ghi nhận chính xác hành vi.</t>
  </si>
  <si>
    <t>TD_RECRUIT_CAND_01
Positive; Phân vùng tương đương
Automation: P1
Cần kiểm tra UI: Theo hướng dẫn OrangeHRM, Vacancy không đánh dấu bắt buộc; kiểm tra trên demo.</t>
  </si>
  <si>
    <t>Kiểm tra consent khi tạo hồ sơ</t>
  </si>
  <si>
    <t>Tiền điều kiện: Đã đăng nhập Admin/Recruitment; có VAC_A đang hiệu lực; email example.com và fixture hồ sơ riêng theo RUN_ID.
Input: First=An; Last=NguyenRUN07; Email=run07@example.com; Consent=On
1. Mở Add Candidate, nhập thông tin bắt buộc.
2. Bật checkbox consent (nếu có).
3. Save và mở lại hồ sơ.
Kết thúc: khôi phục / dọn dẹp fixture theo Test Data; không dùng bản ghi của người khác.</t>
  </si>
  <si>
    <t>Lưu thành công; trạng thái consent đúng tùy chọn hoặc hệ thống có ghi nhận chọn đồng ý.</t>
  </si>
  <si>
    <t>TD_RECRUIT_CAND_01
Positive; Phân vùng tương đương
Automation: P1
Cần kiểm tra UI: Demo có thể chỉ hiển thị consent ở form riêng; điều chỉnh nếu UI khác.</t>
  </si>
  <si>
    <t>Email hợp lệ dạng example.com</t>
  </si>
  <si>
    <t>Tiền điều kiện: Đã đăng nhập Admin/Recruitment; có VAC_A đang hiệu lực; email example.com và fixture hồ sơ riêng theo RUN_ID.
Input: Email=quality.run08@example.com
1. Add ứng viên tên riêng hợp lệ với email hợp lệ.
2. Save và mở lại.
Kết thúc: khôi phục / dọn dẹp fixture theo Test Data; không dùng bản ghi của người khác.</t>
  </si>
  <si>
    <t>Email được lưu nguyên vẹn; có thể tìm đúng hồ sơ.</t>
  </si>
  <si>
    <t>TD_RECRUIT_CAND_02
Positive; Phân vùng tương đương
Automation: P1</t>
  </si>
  <si>
    <t>Email thiếu ký tự @</t>
  </si>
  <si>
    <t>Tiền điều kiện: Đã đăng nhập Admin/Recruitment; có VAC_A đang hiệu lực; email example.com và fixture hồ sơ riêng theo RUN_ID.
Input: Email=quality.example.com
1. Add ứng viên với First/Last hợp lệ; nhập Email thiếu @.
2. Save.
Kết thúc: khôi phục / dọn dẹp fixture theo Test Data; không dùng bản ghi của người khác.</t>
  </si>
  <si>
    <t>Email báo invalid; không tạo hồ sơ.</t>
  </si>
  <si>
    <t>TD_RECRUIT_CAND_02
Negative; Phân vùng tương đương
Automation: P1</t>
  </si>
  <si>
    <t>Email thiếu phần domain</t>
  </si>
  <si>
    <t>Tiền điều kiện: Đã đăng nhập Admin/Recruitment; có VAC_A đang hiệu lực; email example.com và fixture hồ sơ riêng theo RUN_ID.
Input: Email=quality@
1. Add ứng viên với First/Last hợp lệ; nhập Email=quality@.
2. Save.
Kết thúc: khôi phục / dọn dẹp fixture theo Test Data; không dùng bản ghi của người khác.</t>
  </si>
  <si>
    <t>Số điện thoại dạng chữ</t>
  </si>
  <si>
    <t>Tiền điều kiện: Đã đăng nhập Admin/Recruitment; có VAC_A đang hiệu lực; email example.com và fixture hồ sơ riêng theo RUN_ID.
Input: Phone='abcXYZ'; Email=run11@example.com
1. Add hồ sơ với tên và email hợp lệ, Phone=abcXYZ.
2. Save; kiểm tra trạng thái và hồ sơ.
Kết thúc: khôi phục / dọn dẹp fixture theo Test Data; không dùng bản ghi của người khác.</t>
  </si>
  <si>
    <t>Không nhận số điện thoại sai dạng nếu có validation; ghi lại thông báo đúng UI.</t>
  </si>
  <si>
    <t>TD_RECRUIT_CAND_02
Negative; Phân vùng tương đương
Automation: P1
Cần kiểm tra UI: Demo có thể cho phép Phone tự do; xác nhận quy tắc trước khi khóa kỳ vọng.</t>
  </si>
  <si>
    <t>Số điện thoại hợp lệ</t>
  </si>
  <si>
    <t>Tiền điều kiện: Đã đăng nhập Admin/Recruitment; có VAC_A đang hiệu lực; email example.com và fixture hồ sơ riêng theo RUN_ID.
Input: Phone=0900000012; Email=run12@example.com
1. Add hồ sơ với First/Last/Email; nhập Phone=0900000012.
2. Save, reload.
Kết thúc: khôi phục / dọn dẹp fixture theo Test Data; không dùng bản ghi của người khác.</t>
  </si>
  <si>
    <t>Contact Number giữ đúng '0900000012' và không mất số 0 đầu.</t>
  </si>
  <si>
    <t>Tải lên CV PDF hợp lệ</t>
  </si>
  <si>
    <t>Tiền điều kiện: Đã đăng nhập Admin/Recruitment; có VAC_A đang hiệu lực; email example.com và fixture hồ sơ riêng theo RUN_ID.
Input: resume_run.pdf; dung lượng &lt;CV_LIMIT
1. Chuẩn bị file PDF hợp lệ.
2. Add Candidate; nhập đủ trường và chọn CV.
3. Save rồi mở hồ sơ, đọc tên file.
Kết thúc: khôi phục / dọn dẹp fixture theo Test Data; không dùng bản ghi của người khác.</t>
  </si>
  <si>
    <t>CV được đính kèm đúng tên và có thể mở/tải theo quyền của demo.</t>
  </si>
  <si>
    <t>TD_RECRUIT_CAND_03
Positive; Phân vùng tương đương
Automation: P1</t>
  </si>
  <si>
    <t>Tải lên CV DOCX hợp lệ</t>
  </si>
  <si>
    <t>Tiền điều kiện: Đã đăng nhập Admin/Recruitment; có VAC_A đang hiệu lực; email example.com và fixture hồ sơ riêng theo RUN_ID.
Input: resume_run.docx; dung lượng &lt;CV_LIMIT
1. Chuẩn bị DOCX hợp lệ.
2. Add Candidate và upload file.
3. Save; mở chi tiết hồ sơ.
Kết thúc: khôi phục / dọn dẹp fixture theo Test Data; không dùng bản ghi của người khác.</t>
  </si>
  <si>
    <t>CV DOCX được đính kèm và hiển thị đúng tên.</t>
  </si>
  <si>
    <t>Tải CV định dạng không hợp lệ</t>
  </si>
  <si>
    <t>Tiền điều kiện: Đã đăng nhập Admin/Recruitment; có VAC_A đang hiệu lực; email example.com và fixture hồ sơ riêng theo RUN_ID.
Input: resume_run.exe; dung lượng nhỏ
1. Add Candidate với thông tin hợp lệ.
2. Chọn resume_run.exe; Save.
Kết thúc: khôi phục / dọn dẹp fixture theo Test Data; không dùng bản ghi của người khác.</t>
  </si>
  <si>
    <t>Hệ thống từ chối định dạng không hỗ trợ; không lưu tệp .exe.</t>
  </si>
  <si>
    <t>TD_RECRUIT_CAND_03
Negative; Phân vùng tương đương
Automation: P1</t>
  </si>
  <si>
    <t>Tải CV vượt dung lượng tối đa</t>
  </si>
  <si>
    <t>Tiền điều kiện: Đã đăng nhập Admin/Recruitment; có VAC_A đang hiệu lực; email example.com và fixture hồ sơ riêng theo RUN_ID.
Input: resume_oversize.pdf; dung lượng CV_LIMIT+1 byte
1. Đọc giới hạn file được hiển thị trên UI.
2. Add Candidate, chọn file PDF vượt đúng 1 byte; Save.
Kết thúc: khôi phục / dọn dẹp fixture theo Test Data; không dùng bản ghi của người khác.</t>
  </si>
  <si>
    <t>Hiển thị lỗi vượt giới hạn; file quá lớn không được đính kèm.</t>
  </si>
  <si>
    <t>TD_RECRUIT_CAND_03
Negative; Phân tích giá trị biên
Automation: P1
Cần kiểm tra UI: CV_LIMIT lấy từ demo, không áp dụng mặc định 5MB của bản thương mại.</t>
  </si>
  <si>
    <t>Hủy chọn CV trước lưu</t>
  </si>
  <si>
    <t>Tiền điều kiện: Đã đăng nhập Admin/Recruitment; có VAC_A đang hiệu lực; email example.com và fixture hồ sơ riêng theo RUN_ID.
Input: Chọn resume_run.pdf rồi hủy/tắt form, tạo hồ sơ mới không file
1. Mở Add, chọn CV hợp lệ nhưng chưa Save.
2. Cancel/đóng form.
3. Mở Add lại, tạo ứng viên khác không file.
Kết thúc: khôi phục / dọn dẹp fixture theo Test Data; không dùng bản ghi của người khác.</t>
  </si>
  <si>
    <t>Không có CV của lần thao tác hủy trong hồ sơ mới; không phát sinh ứng viên lần đầu.</t>
  </si>
  <si>
    <t>TD_RECRUIT_CAND_03
Positive; Chuyển trạng thái
Automation: P1</t>
  </si>
  <si>
    <t>Lọc ứng viên theo Vacancy</t>
  </si>
  <si>
    <t>Tiền điều kiện: Đã đăng nhập Admin/Recruitment; có VAC_A đang hiệu lực; email example.com và fixture hồ sơ riêng theo RUN_ID.
Input: VAC_A; CAND_FILTER_A thuộc VAC_A
1. Vào Recruitment &gt; Candidates.
2. Chọn Vacancy=VAC_A; Search.
3. Đối chiếu các dòng.
Kết thúc: khôi phục / dọn dẹp fixture theo Test Data; không dùng bản ghi của người khác.</t>
  </si>
  <si>
    <t>CAND_FILTER_A xuất hiện; kết quả thuộc VAC_A.</t>
  </si>
  <si>
    <t>TD_RECRUIT_CAND_04
Positive; Phân vùng tương đương
Automation: P1</t>
  </si>
  <si>
    <t>Lọc theo Candidate Name</t>
  </si>
  <si>
    <t>Tiền điều kiện: Đã đăng nhập Admin/Recruitment; có VAC_A đang hiệu lực; email example.com và fixture hồ sơ riêng theo RUN_ID.
Input: Tên chính xác CAND_FILTER_A
1. Mở Candidates; gõ tên, chọn đúng suggestion nếu được yêu cầu.
2. Search.
Kết thúc: khôi phục / dọn dẹp fixture theo Test Data; không dùng bản ghi của người khác.</t>
  </si>
  <si>
    <t>Hiện CAND_FILTER_A, không lẫn CAND_FILTER_B khác tên.</t>
  </si>
  <si>
    <t>Lọc ứng viên theo Keywords</t>
  </si>
  <si>
    <t>Tiền điều kiện: Đã đăng nhập Admin/Recruitment; có VAC_A đang hiệu lực; email example.com và fixture hồ sơ riêng theo RUN_ID.
Input: Keyword='run_keyword_a' trên CAND_FILTER_A
1. Mở Candidates; nhập Keywords=run_keyword_a; Search.
Kết thúc: khôi phục / dọn dẹp fixture theo Test Data; không dùng bản ghi của người khác.</t>
  </si>
  <si>
    <t>Hiện ứng viên có keyword phù hợp, gồm CAND_FILTER_A.</t>
  </si>
  <si>
    <t>Lọc kết hợp Vacancy và ngày ứng tuyển</t>
  </si>
  <si>
    <t>Tiền điều kiện: Đã đăng nhập Admin/Recruitment; có VAC_A đang hiệu lực; email example.com và fixture hồ sơ riêng theo RUN_ID.
Input: VAC_A; From=RUN_DATE−1 ngày; To=RUN_DATE+1 ngày (ngày tạo fixture thực tế)
1. Ghi nhận ngày ứng tuyển thật của CAND_FILTER_A.
2. Chọn Vacancy=VAC_A và khoảng ngày bao phủ đúng ngày đó.
3. Search; đối chiếu kết quả ngày và vacancy.
Kết thúc: khôi phục / dọn dẹp fixture theo Test Data.</t>
  </si>
  <si>
    <t>Chỉ xuất hiện ứng viên thỏa vacancy và ngày trong khoảng đã nhập.</t>
  </si>
  <si>
    <t>TD_RECRUIT_CAND_04
Positive; Bảng quyết định
Automation: P1</t>
  </si>
  <si>
    <t>Reset bộ lọc Candidates</t>
  </si>
  <si>
    <t>Tiền điều kiện: Đã đăng nhập Admin/Recruitment; có VAC_A đang hiệu lực; email example.com và fixture hồ sơ riêng theo RUN_ID.
Input: Vacancy=VAC_A; Keywords=run_keyword_a
1. Áp dụng hai điều kiện; Search.
2. Nhấn Reset.
3. Kiểm tra input và kết quả.
Kết thúc: khôi phục / dọn dẹp fixture theo Test Data; không dùng bản ghi của người khác.</t>
  </si>
  <si>
    <t>Hai filter về mặc định; danh sách trở lại trạng thái không lọc.</t>
  </si>
  <si>
    <t>TD_RECRUIT_CAND_04
Positive; Chuyển trạng thái
Automation: P1</t>
  </si>
  <si>
    <t>Sửa Keywords và Notes hồ sơ</t>
  </si>
  <si>
    <t>Tiền điều kiện: Đã đăng nhập Admin/Recruitment; có VAC_A đang hiệu lực; email example.com và fixture hồ sơ riêng theo RUN_ID.
Input: CAND_EDIT; Keywords=playwright,regression; Notes='Updated RUN'
1. Mở chi tiết CAND_EDIT; ghi baseline.
2. Edit, đổi Keywords/Notes; Save; reload.
Kết thúc: khôi phục / dọn dẹp fixture theo Test Data; không dùng bản ghi của người khác.</t>
  </si>
  <si>
    <t>Keywords và Notes đúng giá trị mới; email và vacancy không đổi.</t>
  </si>
  <si>
    <t>TD_RECRUIT_CAND_05
Positive; Phân vùng tương đương
Automation: P1</t>
  </si>
  <si>
    <t>Hủy chỉnh sửa hồ sơ ứng viên</t>
  </si>
  <si>
    <t>Tiền điều kiện: Đã đăng nhập Admin/Recruitment; có VAC_A đang hiệu lực; email example.com và fixture hồ sơ riêng theo RUN_ID.
Input: CAND_EDIT; Email tạm=unsaved@example.com
1. Mở CAND_EDIT; ghi email gốc.
2. Vào Edit, đổi email; nhấn Cancel/Back.
3. Reload hồ sơ.
Kết thúc: khôi phục / dọn dẹp fixture theo Test Data; không dùng bản ghi của người khác.</t>
  </si>
  <si>
    <t>Email vẫn đúng baseline; không lưu email tạm.</t>
  </si>
  <si>
    <t>TD_RECRUIT_CAND_05
Positive; Chuyển trạng thái
Automation: P1</t>
  </si>
  <si>
    <t>Đối chiếu dữ liệu hồ sơ sau tải lại</t>
  </si>
  <si>
    <t>Tiền điều kiện: Đã đăng nhập Admin/Recruitment; có VAC_A đang hiệu lực; email example.com và fixture hồ sơ riêng theo RUN_ID.
Input: CAND_EDIT; First, Last, Email, Contact, Vacancy theo baseline
1. Mở CAND_EDIT; ghi 5 trường baseline.
2. Tải lại; đối chiếu từng trường và danh sách.
Kết thúc: khôi phục / dọn dẹp fixture theo Test Data; không dùng bản ghi của người khác.</t>
  </si>
  <si>
    <t>Chi tiết và dòng danh sách nhất quán; không mất dữ liệu khi reload.</t>
  </si>
  <si>
    <t>Kiểm tra trạng thái ứng viên mới</t>
  </si>
  <si>
    <t>Tiền điều kiện: Đã đăng nhập Admin/Recruitment; VAC_A và INTERVIEWER_A/B hiệu lực; ứng viên độc lập đúng trạng thái đầu vào.
Input: F_NEW_01; Vacancy=VAC_A; vừa tạo chưa thao tác
1. Tạo F_NEW_01 từ giao diện Candidates.
2. Mở chi tiết và Candidate History.
Kết thúc: khôi phục / dọn dẹp fixture theo Test Data; không dùng bản ghi của người khác.</t>
  </si>
  <si>
    <t>Trạng thái đầu vào là Application Initiated hoặc nhãn khởi tạo tương đương; chưa có sự kiện Shortlist/Reject.</t>
  </si>
  <si>
    <t>Không phụ thuộc test khác; fixture đúng trạng thái được tạo trong setup.
Riêng flow, không dùng candidate đã Rejected cho nhánh Shortlisted.</t>
  </si>
  <si>
    <t>TD_RECRUIT_FLOW_01
Positive; Phân vùng tương đương
Automation: P1</t>
  </si>
  <si>
    <t>Shortlist ứng viên mới</t>
  </si>
  <si>
    <t>Tiền điều kiện: Đã đăng nhập Admin/Recruitment; VAC_A và INTERVIEWER_A/B hiệu lực; ứng viên độc lập đúng trạng thái đầu vào.
Input: F_NEW_02 có status Application Initiated; Notes='Shortlist RUN'
1. Mở F_NEW_02.
2. Nhấn Shortlist; nhập Notes nếu có; xác nhận Save/Shortlist.
3. Reload.
Kết thúc: khôi phục / dọn dẹp fixture theo Test Data; không dùng bản ghi của người khác.</t>
  </si>
  <si>
    <t>Status chuyển Shortlisted; History ghi sự kiện shortlist đúng ứng viên.</t>
  </si>
  <si>
    <t>TD_RECRUIT_FLOW_01
Positive; Chuyển trạng thái
Automation: P1</t>
  </si>
  <si>
    <t>Reject ứng viên từ trạng thái ban đầu</t>
  </si>
  <si>
    <t>Tiền điều kiện: Đã đăng nhập Admin/Recruitment; VAC_A và INTERVIEWER_A/B hiệu lực; ứng viên độc lập đúng trạng thái đầu vào.
Input: F_NEW_03 Application Initiated; Notes='Reject initial RUN'
1. Mở F_NEW_03.
2. Nhấn Reject; xác nhận trong hộp thoại.
3. Reload.
Kết thúc: khôi phục / dọn dẹp fixture theo Test Data; không dùng bản ghi của người khác.</t>
  </si>
  <si>
    <t>Status chuyển Rejected; Candidate History có sự kiện reject.</t>
  </si>
  <si>
    <t>Reject ứng viên đã Shortlisted</t>
  </si>
  <si>
    <t>Tiền điều kiện: Đã đăng nhập Admin/Recruitment; VAC_A và INTERVIEWER_A/B hiệu lực; ứng viên độc lập đúng trạng thái đầu vào.
Input: F_SHORT_04 đang Shortlisted; Notes='Reject shortlisted RUN'
1. Mở F_SHORT_04.
2. Nhấn Reject; xác nhận.
3. Reload và xem History.
Kết thúc: khôi phục / dọn dẹp fixture theo Test Data; không dùng bản ghi của người khác.</t>
  </si>
  <si>
    <t>Trạng thái Rejected; lịch sử còn sự kiện shortlist cũ và thêm reject.</t>
  </si>
  <si>
    <t>Hủy hộp thoại Shortlist</t>
  </si>
  <si>
    <t>Tiền điều kiện: Đã đăng nhập Admin/Recruitment; VAC_A và INTERVIEWER_A/B hiệu lực; ứng viên độc lập đúng trạng thái đầu vào.
Input: F_NEW_05 Application Initiated; Notes='Không được lưu'
1. Mở F_NEW_05; nhấn Shortlist.
2. Điền Notes nếu có; nhấn Cancel/Back thay vì xác nhận.
3. Reload.
Kết thúc: khôi phục / dọn dẹp fixture theo Test Data; không dùng bản ghi của người khác.</t>
  </si>
  <si>
    <t>Status vẫn Application Initiated; History không có sự kiện Shortlist mới.</t>
  </si>
  <si>
    <t>Đặt lịch phỏng vấn với dữ liệu đầy đủ</t>
  </si>
  <si>
    <t>Tiền điều kiện: Đã đăng nhập Admin/Recruitment; VAC_A và INTERVIEWER_A/B hiệu lực; ứng viên độc lập đúng trạng thái đầu vào.
Input: F_SHORT_06; Title='Interview RUN06'; Interviewer=INT_A; Date=2026-11-10; Time=10:30; Notes='First round'
1. Mở F_SHORT_06 Shortlisted; nhấn Schedule Interview.
2. Điền các trường chính xác và chọn INT_A từ gợi ý.
3. Save; reload Candidate Details.
Kết thúc: khôi phục / dọn dẹp fixture theo Test Data; không dùng bản ghi của người khác.</t>
  </si>
  <si>
    <t>Chuyển sang Interview Scheduled; tiêu đề, người phỏng vấn, ngày 2026-11-10, giờ 10:30 và ghi chú đã lưu.</t>
  </si>
  <si>
    <t>TD_RECRUIT_FLOW_02
Positive; Chuyển trạng thái
Automation: P1</t>
  </si>
  <si>
    <t>Bỏ trống Interview Title</t>
  </si>
  <si>
    <t>Tiền điều kiện: Đã đăng nhập Admin/Recruitment; VAC_A và INTERVIEWER_A/B hiệu lực; ứng viên độc lập đúng trạng thái đầu vào.
Input: F_SHORT_07; Title rỗng; INT_A; Date=2026-11-10
1. Mở Schedule Interview của F_SHORT_07.
2. Để Title rỗng; điền các trường còn lại; Save.
Kết thúc: khôi phục / dọn dẹp fixture theo Test Data; không dùng bản ghi của người khác.</t>
  </si>
  <si>
    <t>Interview Title hiển thị Required; chưa có lịch mới.</t>
  </si>
  <si>
    <t>TD_RECRUIT_FLOW_02
Negative; Phân vùng tương đương
Automation: P1</t>
  </si>
  <si>
    <t>Bỏ trống Interviewer</t>
  </si>
  <si>
    <t>Tiền điều kiện: Đã đăng nhập Admin/Recruitment; VAC_A và INTERVIEWER_A/B hiệu lực; ứng viên độc lập đúng trạng thái đầu vào.
Input: F_SHORT_08; Title='Interview RUN08'; Interviewer rỗng; Date=2026-11-10
1. Mở Schedule Interview; điền Title và Date.
2. Không chọn Interviewer; Save.
Kết thúc: khôi phục / dọn dẹp fixture theo Test Data; không dùng bản ghi của người khác.</t>
  </si>
  <si>
    <t>Interviewer hiển thị Required; không tạo lịch.</t>
  </si>
  <si>
    <t>Bỏ trống ngày phỏng vấn</t>
  </si>
  <si>
    <t>Tiền điều kiện: Đã đăng nhập Admin/Recruitment; VAC_A và INTERVIEWER_A/B hiệu lực; ứng viên độc lập đúng trạng thái đầu vào.
Input: F_SHORT_09; Title='Interview RUN09'; INT_A; Date rỗng
1. Mở Schedule Interview; điền Title và Interviewer.
2. Xóa Date, Save.
Kết thúc: khôi phục / dọn dẹp fixture theo Test Data; không dùng bản ghi của người khác.</t>
  </si>
  <si>
    <t>Date hiển thị Required; không lưu lịch.</t>
  </si>
  <si>
    <t>Ngày phỏng vấn không tồn tại</t>
  </si>
  <si>
    <t>Tiền điều kiện: Đã đăng nhập Admin/Recruitment; VAC_A và INTERVIEWER_A/B hiệu lực; ứng viên độc lập đúng trạng thái đầu vào.
Input: F_SHORT_10; Date=31/02/2027; Title hợp lệ; INT_A
1. Mở Schedule Interview.
2. Nhập ngày 31/02/2027 theo định dạng UI (nếu datepicker chặn, ghi nhận).
3. Save.
Kết thúc: khôi phục / dọn dẹp fixture theo Test Data; không dùng bản ghi của người khác.</t>
  </si>
  <si>
    <t>Ngày không hợp lệ bị chặn hoặc báo lỗi; không tạo lịch với ngày này.</t>
  </si>
  <si>
    <t>TD_RECRUIT_FLOW_02
Negative; Phân vùng tương đương / Giá trị biên
Automation: P1</t>
  </si>
  <si>
    <t>Thời gian sai định dạng</t>
  </si>
  <si>
    <t>Tiền điều kiện: Đã đăng nhập Admin/Recruitment; VAC_A và INTERVIEWER_A/B hiệu lực; ứng viên độc lập đúng trạng thái đầu vào.
Input: F_SHORT_11; Time=25:99; Title hợp lệ; INT_A; Date hợp lệ
1. Mở Schedule Interview.
2. Nhập/paste giờ 25:99 vào Time; Save.
Kết thúc: khôi phục / dọn dẹp fixture theo Test Data; không dùng bản ghi của người khác.</t>
  </si>
  <si>
    <t>Không nhận thời gian ngoài miền hợp lệ; chặn nhập hoặc báo lỗi.</t>
  </si>
  <si>
    <t>TD_RECRUIT_FLOW_02
Negative; Phân vùng tương đương / Giá trị biên
Automation: P1
Cần kiểm tra UI: Kiểm tra giao diện Time có cho nhập tự do hay chỉ chọn giờ.</t>
  </si>
  <si>
    <t>Lưu ghi chú phỏng vấn</t>
  </si>
  <si>
    <t>Tiền điều kiện: Đã đăng nhập Admin/Recruitment; VAC_A và INTERVIEWER_A/B hiệu lực; ứng viên độc lập đúng trạng thái đầu vào.
Input: F_SHORT_12; Title='Interview RUN12'; INT_A; Date=2026-11-12; Time=14:00; Notes='Đánh giá kỹ năng QA'
1. Mở Schedule Interview, nhập dữ liệu đầy đủ.
2. Nhập Notes có dấu; Save.
3. Mở chi tiết/history của lịch.
Kết thúc: khôi phục / dọn dẹp fixture theo Test Data; không dùng bản ghi của người khác.</t>
  </si>
  <si>
    <t>Ghi chú hiển thị chính xác, không lỗi dấu; lịch được tạo đúng candidate.</t>
  </si>
  <si>
    <t>TD_RECRUIT_FLOW_02
Positive; Phân vùng tương đương
Automation: P1</t>
  </si>
  <si>
    <t>Chọn interviewer qua autocomplete</t>
  </si>
  <si>
    <t>Tiền điều kiện: Đã đăng nhập Admin/Recruitment; VAC_A và INTERVIEWER_A/B hiệu lực; ứng viên độc lập đúng trạng thái đầu vào.
Input: F_SHORT_13; INT_A nhân viên còn hiệu lực
1. Mở Schedule Interview.
2. Gõ tiền tố tên INT_A; chọn đúng suggestion.
3. Điền Title/Date, Save; mở lại.
Kết thúc: khôi phục / dọn dẹp fixture theo Test Data; không dùng bản ghi của người khác.</t>
  </si>
  <si>
    <t>Interviewer là INT_A, không lưu tên gõ tự do.</t>
  </si>
  <si>
    <t>TD_RECRUIT_FLOW_03
Positive; Phân vùng tương đương / Autocomplete
Automation: P1</t>
  </si>
  <si>
    <t>Chọn nhiều interviewer</t>
  </si>
  <si>
    <t>Tiền điều kiện: Đã đăng nhập Admin/Recruitment; VAC_A và INTERVIEWER_A/B hiệu lực; ứng viên độc lập đúng trạng thái đầu vào.
Input: F_SHORT_14; INT_A và INT_B khác người
1. Mở Schedule Interview.
2. Chọn INT_A, tiếp tục chọn INT_B qua suggestion.
3. Điền Title/Date; Save; mở lại.
Kết thúc: khôi phục / dọn dẹp fixture theo Test Data; không dùng bản ghi của người khác.</t>
  </si>
  <si>
    <t>Lưu đúng cả hai interviewer, không trùng; hiển thị đúng trên chi tiết.</t>
  </si>
  <si>
    <t>TD_RECRUIT_FLOW_03
Positive; Phân vùng tương đương
Automation: P1
Cần kiểm tra UI: Chỉ chạy nếu bản demo hỗ trợ multi-select; nếu không, ghi Blocked và phiên bản.</t>
  </si>
  <si>
    <t>Không chọn interviewer đã xóa</t>
  </si>
  <si>
    <t>Tiền điều kiện: Đã đăng nhập Admin/Recruitment; VAC_A và INTERVIEWER_A/B hiệu lực; ứng viên độc lập đúng trạng thái đầu vào.
Input: F_SHORT_15; gõ tên 'DELETED_INTERVIEWER_RUN' không tồn tại
1. Mở Schedule Interview.
2. Gõ tên không tồn tại vào Interviewer, không chọn suggestion.
3. Điền Title/Date, Save.
Kết thúc: khôi phục / dọn dẹp fixture theo Test Data; không dùng bản ghi của người khác.</t>
  </si>
  <si>
    <t>Không chấp nhận một chuỗi không khớp nhân viên còn hiệu lực; báo Required/Invalid.</t>
  </si>
  <si>
    <t>TD_RECRUIT_FLOW_03
Negative; Phân vùng tương đương / Autocomplete
Automation: P1</t>
  </si>
  <si>
    <t>Schedule Interview không có ở trạng thái mới</t>
  </si>
  <si>
    <t>Tiền điều kiện: Đã đăng nhập Admin/Recruitment; VAC_A và INTERVIEWER_A/B hiệu lực; ứng viên độc lập đúng trạng thái đầu vào.
Input: F_NEW_16 Application Initiated
1. Mở chi tiết F_NEW_16 chưa Shortlist.
2. Kiểm tra nút hành động và menu.
Kết thúc: khôi phục / dọn dẹp fixture theo Test Data; không dùng bản ghi của người khác.</t>
  </si>
  <si>
    <t>Không có thao tác Schedule Interview hợp lệ từ trạng thái đầu vào; phải Shortlist trước.</t>
  </si>
  <si>
    <t>TD_RECRUIT_FLOW_04
Positive; Chuyển trạng thái
Automation: P1</t>
  </si>
  <si>
    <t>Schedule Interview xuất hiện sau Shortlist</t>
  </si>
  <si>
    <t>Tiền điều kiện: Đã đăng nhập Admin/Recruitment; VAC_A và INTERVIEWER_A/B hiệu lực; ứng viên độc lập đúng trạng thái đầu vào.
Input: F_SHORT_17 Shortlisted
1. Mở F_SHORT_17.
2. Quan sát menu hành động.
3. Nhấn Schedule Interview và kiểm tra form.
Kết thúc: khôi phục / dọn dẹp fixture theo Test Data; không dùng bản ghi của người khác.</t>
  </si>
  <si>
    <t>Nút Schedule Interview khả dụng; mở được form lịch của đúng candidate.</t>
  </si>
  <si>
    <t>Trạng thái sau khi đặt lịch</t>
  </si>
  <si>
    <t>Tiền điều kiện: Đã đăng nhập Admin/Recruitment; VAC_A và INTERVIEWER_A/B hiệu lực; ứng viên độc lập đúng trạng thái đầu vào.
Input: F_SHORT_18; Title='Interview RUN18'; INT_A; Date hợp lệ
1. Mở F_SHORT_18; Schedule Interview đầy đủ.
2. Save; trở lại chi tiết, kiểm tra trạng thái.
Kết thúc: khôi phục / dọn dẹp fixture theo Test Data; không dùng bản ghi của người khác.</t>
  </si>
  <si>
    <t>Status là Interview Scheduled; không còn status Shortlisted.</t>
  </si>
  <si>
    <t>Không tái Shortlist sau khi Reject</t>
  </si>
  <si>
    <t>Tiền điều kiện: Đã đăng nhập Admin/Recruitment; VAC_A và INTERVIEWER_A/B hiệu lực; ứng viên độc lập đúng trạng thái đầu vào.
Input: F_REJECT_19 có trạng thái Rejected
1. Mở F_REJECT_19, quan sát tất cả nút.
2. Thử truy cập lại menu nếu có.
Kết thúc: khôi phục / dọn dẹp fixture theo Test Data; không dùng bản ghi của người khác.</t>
  </si>
  <si>
    <t>Không hiển thị thao tác Shortlist trái quy tắc trạng thái; status vẫn Rejected.</t>
  </si>
  <si>
    <t>TD_RECRUIT_FLOW_04
Positive; Chuyển trạng thái
Automation: P1
Cần kiểm tra UI: Ghi nhận flow nếu phiên bản hỗ trợ Re-activate ứng viên.</t>
  </si>
  <si>
    <t>Hủy Reject không đổi trạng thái</t>
  </si>
  <si>
    <t>Tiền điều kiện: Đã đăng nhập Admin/Recruitment; VAC_A và INTERVIEWER_A/B hiệu lực; ứng viên độc lập đúng trạng thái đầu vào.
Input: F_SHORT_20 Shortlisted
1. Mở F_SHORT_20; nhấn Reject.
2. Nhấn Cancel/Back trong dialog.
3. Reload chi tiết.
Kết thúc: khôi phục / dọn dẹp fixture theo Test Data; không dùng bản ghi của người khác.</t>
  </si>
  <si>
    <t>Vẫn Shortlisted; không thêm bản ghi Reject vào History.</t>
  </si>
  <si>
    <t>Candidate Details chứa đúng bản ghi</t>
  </si>
  <si>
    <t>Tiền điều kiện: Đã đăng nhập Admin/Recruitment; VAC_A và INTERVIEWER_A/B hiệu lực; ứng viên độc lập đúng trạng thái đầu vào.
Input: F_NEW_21; name/email/vacancy cố định theo Test Data
1. Vào Candidates; tìm bằng email F_NEW_21.
2. Mở chi tiết, đối chiếu name/email/vacancy.
Kết thúc: khôi phục / dọn dẹp fixture theo Test Data; không dùng bản ghi của người khác.</t>
  </si>
  <si>
    <t>Tên, email, vacancy và trạng thái đúng một ứng viên; không hiển thị fixture khác.</t>
  </si>
  <si>
    <t>TD_RECRUIT_FLOW_05
Positive; Phân vùng tương đương
Automation: P1</t>
  </si>
  <si>
    <t>History sau khi tạo ứng viên</t>
  </si>
  <si>
    <t>Tiền điều kiện: Đã đăng nhập Admin/Recruitment; VAC_A và INTERVIEWER_A/B hiệu lực; ứng viên độc lập đúng trạng thái đầu vào.
Input: F_NEW_22 mới được tạo
1. Mở F_NEW_22.
2. Cuộn đến Candidate History, đọc các dòng.
Kết thúc: khôi phục / dọn dẹp fixture theo Test Data; không dùng bản ghi của người khác.</t>
  </si>
  <si>
    <t>Có dữ liệu sự kiện khởi tạo/đính vacancy theo cơ chế bản demo; không có event interview/reject.</t>
  </si>
  <si>
    <t>History sau Shortlist</t>
  </si>
  <si>
    <t>Tiền điều kiện: Đã đăng nhập Admin/Recruitment; VAC_A và INTERVIEWER_A/B hiệu lực; ứng viên độc lập đúng trạng thái đầu vào.
Input: F_SHORT_23 đã chuyển từ Initiated bằng setup
1. Mở F_SHORT_23, xem Candidate History.
2. Mở View/chi tiết event nếu có.
Kết thúc: khôi phục / dọn dẹp fixture theo Test Data; không dùng bản ghi của người khác.</t>
  </si>
  <si>
    <t>Có event Shortlist gắn với đúng ứng viên và trình tự sau khi tạo.</t>
  </si>
  <si>
    <t>History sau Reject</t>
  </si>
  <si>
    <t>Tiền điều kiện: Đã đăng nhập Admin/Recruitment; VAC_A và INTERVIEWER_A/B hiệu lực; ứng viên độc lập đúng trạng thái đầu vào.
Input: F_REJECT_24 được reject từ Initiated
1. Mở F_REJECT_24, xem History.
2. Đối chiếu description, trạng thái và ghi chú.
Kết thúc: khôi phục / dọn dẹp fixture theo Test Data; không dùng bản ghi của người khác.</t>
  </si>
  <si>
    <t>Có event Reject của đúng ứng viên; trạng thái Rejected phù hợp event.</t>
  </si>
  <si>
    <t>History sau Schedule Interview</t>
  </si>
  <si>
    <t>Tiền điều kiện: Đã đăng nhập Admin/Recruitment; VAC_A và INTERVIEWER_A/B hiệu lực; ứng viên độc lập đúng trạng thái đầu vào.
Input: F_SCHED_25 đã được đặt lịch Title='Interview RUN25'
1. Mở F_SCHED_25 và Candidate History.
2. Mở event phỏng vấn; đối chiếu Title/INT_A/Date.
Kết thúc: khôi phục / dọn dẹp fixture theo Test Data; không dùng bản ghi của người khác.</t>
  </si>
  <si>
    <t>Có event Interview Scheduled; chi tiết trùng dữ liệu lịch đã lưu và đúng candidate.</t>
  </si>
  <si>
    <t>RECRUITMENT TEST DATA</t>
  </si>
  <si>
    <t>RUN_ID</t>
  </si>
  <si>
    <t>Chỉ xóa fixture với RUN_ID của nhóm mình.</t>
  </si>
  <si>
    <t>Admin / quyền Recruitment</t>
  </si>
  <si>
    <t>Đăng nhập bằng tài khoản demo hợp lệ được cung cấp trên trang; không hardcode password trong repo.</t>
  </si>
  <si>
    <t>Setup tất cả TC</t>
  </si>
  <si>
    <t>Đăng xuất cuối suite. Không sửa mật khẩu hoặc role của người khác.</t>
  </si>
  <si>
    <t>Login không tính là chức năng test riêng.</t>
  </si>
  <si>
    <t>VAC_A</t>
  </si>
  <si>
    <t>VAC_[RUN_ID]_BASE</t>
  </si>
  <si>
    <t>Tạo vacancy Active có JOB_A, MANAGER_A, Positions=3; chụp ID và trạng thái.</t>
  </si>
  <si>
    <t>Candidates + Flow</t>
  </si>
  <si>
    <t>Chỉ xóa sau khi đã dọn candidate liên quan.</t>
  </si>
  <si>
    <t>Vacancy phải chọn được trên Add Candidate.</t>
  </si>
  <si>
    <t>VAC_EDIT</t>
  </si>
  <si>
    <t>VAC_[RUN_ID]_EDIT</t>
  </si>
  <si>
    <t>Tạo bản ghi Active; lưu snapshot Name/Description/Positions/Manager trước khi test.</t>
  </si>
  <si>
    <t>Restore sau mỗi TC, riêng nhánh thử Active cần reset.</t>
  </si>
  <si>
    <t>Không dùng bản ghi của người khác.</t>
  </si>
  <si>
    <t>VAC_FILTER_A</t>
  </si>
  <si>
    <t>VAC_[RUN_ID]_FILTER_A</t>
  </si>
  <si>
    <t>Tạo Job Title=JOB_A, Manager=MANAGER_A.</t>
  </si>
  <si>
    <t>Xóa sau khi ghi evidence.</t>
  </si>
  <si>
    <t>Positive control.</t>
  </si>
  <si>
    <t>VAC_FILTER_B</t>
  </si>
  <si>
    <t>VAC_[RUN_ID]_FILTER_B</t>
  </si>
  <si>
    <t>Tạo Job Title khác hoặc Manager khác, Name khác A.</t>
  </si>
  <si>
    <t>Negative control.</t>
  </si>
  <si>
    <t>CAND_EDIT</t>
  </si>
  <si>
    <t>cand_edit_[RUN_ID]@example.com</t>
  </si>
  <si>
    <t>Tạo ứng viên có Vacancy=VAC_A; lưu snapshot name, contact, keyword và note.</t>
  </si>
  <si>
    <t>Khôi phục tất cả field sau từng TC.</t>
  </si>
  <si>
    <t>Email giả trên example.com.</t>
  </si>
  <si>
    <t>CAND_FILTER_A / B</t>
  </si>
  <si>
    <t>cand_filter_a_[RUN_ID]@example.com; cand_filter_b_[RUN_ID]@example.com</t>
  </si>
  <si>
    <t>A gán VAC_A + run_keyword_a; B khác vacancy hoặc keyword; kiểm tra ngày tạo.</t>
  </si>
  <si>
    <t>Dọn dữ liệu của hai fixture sau run.</t>
  </si>
  <si>
    <t>Chọn ngày filter dựa trên ngày thực sự lưu.</t>
  </si>
  <si>
    <t>F_NEW_x</t>
  </si>
  <si>
    <t>Ứng viên Application Initiated</t>
  </si>
  <si>
    <t>Tạo candidate mới với email flow_new_x_[RUN_ID]@example.com cho từng nhánh.</t>
  </si>
  <si>
    <t>Không tái dùng F_NEW đã bị Shortlisted/Rejected.</t>
  </si>
  <si>
    <t>Mỗi test là candidate riêng.</t>
  </si>
  <si>
    <t>F_SHORT_x</t>
  </si>
  <si>
    <t>Ứng viên Shortlisted</t>
  </si>
  <si>
    <t>Tạo mới theo RUN_ID; thực hiện Shortlist trong setup và assert status trước case.</t>
  </si>
  <si>
    <t>Không dùng sau Reject hay Schedule nếu case cần Shortlisted.</t>
  </si>
  <si>
    <t>Không phụ thuộc TC khác.</t>
  </si>
  <si>
    <t>F_REJECT_x</t>
  </si>
  <si>
    <t>Ứng viên Rejected</t>
  </si>
  <si>
    <t>Tạo mới riêng; Reject trong setup, assert Rejected.</t>
  </si>
  <si>
    <t>Không dùng để test Shortlist.</t>
  </si>
  <si>
    <t>Trạng thái terminal cần xác nhận.</t>
  </si>
  <si>
    <t>F_SCHED_x</t>
  </si>
  <si>
    <t>Ứng viên đã Schedule Interview</t>
  </si>
  <si>
    <t>Tạo mới; Shortlist→Schedule; lưu Title/Date/Interviewer thực tế.</t>
  </si>
  <si>
    <t>Không làm lại lịch trừ khi có kế hoạch rollback.</t>
  </si>
  <si>
    <t>Đối chiếu History với input.</t>
  </si>
  <si>
    <t>INT_A / INT_B</t>
  </si>
  <si>
    <t>Hai interviewer đang hoạt động</t>
  </si>
  <si>
    <t>Chọn bằng autocomplete, xác nhận hai employee khác nhau và không Deleted.</t>
  </si>
  <si>
    <t>Không sửa danh mục Employee của hệ thống.</t>
  </si>
  <si>
    <t>Multi-select cần xác nhận UI.</t>
  </si>
  <si>
    <t>CV_LIMIT</t>
  </si>
  <si>
    <t>Đọc hướng dẫn cạnh Select Resume; ghi nguyên văn MB/KiB, quy đổi sang byte trước khi tạo tệp.</t>
  </si>
  <si>
    <t>Xóa file cục bộ tạm sau run.</t>
  </si>
  <si>
    <t>Không tự suy luận 5 MB từ phiên bản thương mại.</t>
  </si>
  <si>
    <t>CV_FILES</t>
  </si>
  <si>
    <t>resume_run.pdf, resume_run.docx, resume_run.exe, resume_oversize.pdf</t>
  </si>
  <si>
    <t>Sinh file CV giả không chứa dữ liệu cá nhân; kiểm tra MIME, size, tên.</t>
  </si>
  <si>
    <t>Không upload CV thật.</t>
  </si>
  <si>
    <t>Không tải file .exe xuống máy từ nguồn lạ.</t>
  </si>
  <si>
    <t>DATE_WINDOW</t>
  </si>
  <si>
    <t>2026-11-10 / 2026-11-12; filter theo ngày thực tế</t>
  </si>
  <si>
    <t>Interview dùng ngày hợp lệ trong tương lai tại lúc chạy; filter From/To bám theo fixture.</t>
  </si>
  <si>
    <t>Không để ngày động gây false failure.</t>
  </si>
  <si>
    <t>Định dạng nhập theo UI, không áp đặt dd/MM/yyyy.</t>
  </si>
  <si>
    <t>EXEC_LOG</t>
  </si>
  <si>
    <t>Evidence: screenshot/log + defect ID</t>
  </si>
  <si>
    <t>Lưu timestamp, browser/version, testcase ID; chụp trước/sau cho Failed.</t>
  </si>
  <si>
    <t>Toàn bộ suite</t>
  </si>
  <si>
    <t>Dữ liệu evidence không chứa PII.</t>
  </si>
  <si>
    <t>Không đánh dấu Passed trước khi có kiểm chứng.</t>
  </si>
  <si>
    <t>Website Demo</t>
  </si>
  <si>
    <t>RECRUIT_VAC — Vacancies</t>
  </si>
  <si>
    <t>https://help.orangehrm.com/hc/en-us/articles/18264958234649-How-to-Create-a-New-Vacancy-in-OrangeHRM</t>
  </si>
  <si>
    <t>RECRUIT_CAND — Candidates</t>
  </si>
  <si>
    <t>https://help.orangehrm.com/hc/en-us/articles/10457315002777-How-To-Add-Candidates-To-Created-Vacancies</t>
  </si>
  <si>
    <t>RECRUIT_CAND / FLOW — Profile &amp; History</t>
  </si>
  <si>
    <t>https://help.orangehrm.com/hc/en-us/articles/10876907600153-How-to-View-and-Manage-a-Candidate-Profile</t>
  </si>
  <si>
    <t>RECRUIT_FLOW — Shortlist / Reject</t>
  </si>
  <si>
    <t>https://help.orangehrm.com/hc/en-us/articles/35482924971673-Usability-Improvements-in-Recruitment-Module</t>
  </si>
  <si>
    <t>https://www.orangehrm.com/assets/Files/Advanced-Recruitment-User-Guide.pdf</t>
  </si>
  <si>
    <t>Môi trường kiểm thử trực tiếp</t>
  </si>
  <si>
    <t>Tạo vacancy, Job Title, Hiring Manager, mô tả, cấu hình/publish, bộ lọc danh sách</t>
  </si>
  <si>
    <t>Tạo candidate, tên/email, liên kết vacancy, tải CV và lọc danh sách</t>
  </si>
  <si>
    <t>Xem/sửa hồ sơ, resume, notes, thay đổi giai đoạn và Candidate History/Audit Logs</t>
  </si>
  <si>
    <t>Các hành động Shortlist/Reject và thay đổi giai đoạn candidate</t>
  </si>
  <si>
    <t>RECRUIT_FLOW — Schedule Interview</t>
  </si>
  <si>
    <t xml:space="preserve"> Shortlist, Reject, Schedule Interview và history</t>
  </si>
  <si>
    <t>VAC_FILTER_A xuất hiện; toàn bộ kết quả thuộc QA Engineer.</t>
  </si>
  <si>
    <t>Tiền điều kiện: Đã đăng nhập Admin/Recruitment; có QA Engineer, NVThangA101 hợp lệ; dữ liệu khác biệt theo RUN_ID.
Input: Name=VAC_RUN01; Job Title=QA Engineer; Hiring Manager=NVThangA101; Positions=1
1. Vào Recruitment &gt; Vacancies &gt; Add.
2. Điền tên, chọn QA Engineer, chọn NVThangA101 qua suggestion; Positions=1.
3. Save, tìm VAC_RUN01 và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</si>
  <si>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Name=VAC_RUN02; QA Engineer; NVThangA101; Positions=3; Description=QA automation; Active=On; Publish=On
1. Mở Add Vacancy.
2. Điền tất cả các trường và bật hai checkbox.
3. Save; tìm lại VAC_RUN02, mở edit.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</si>
  <si>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Name=VAC_RUN03; Job Title trống; Manager=NVThangA101
1. Mở Add Vacancy; điền tên, manager và để Job Title rỗng.
2. Bấm Save; kiểm tra lỗi và tìm tên.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</si>
  <si>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 rỗng; QA Engineer; NVThangA101
1. Mở Add Vacancy; chọn QA Engineer, NVThangA101 và để trống Name.
2. Bấm Save; quan sát validation.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</si>
  <si>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Name=VAC_RUN05; QA Engineer; Manager trống
1. Mở Add Vacancy; điền Name và QA Engineer nhưng không chọn Manager.
2. Bấm Save; kiểm tra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</si>
  <si>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Name='   '; QA Engineer; NVThangA101
1. Mở Add Vacancy; nhập 3 dấu cách tại Name.
2. Bấm Save, tìm bản ghi nếu cần.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</si>
  <si>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Name=VAC_RUN07; gõ tiền tố NVThangA101, chọn suggestion chính xác
1. Mở Add Vacancy, điền Name và QA Engineer.
2. Gõ một phần NVThangA101, chọn đúng suggestion; Save.
3. Mở lại bản ghi.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</si>
  <si>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Name=VAC_RUN08; Positions=1
1. Mở Add, nhập đủ trường và Positions=1.
2. Save rồi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</si>
  <si>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Name=VAC_RUN09; Positions=0
1. Mở Add, nhập đủ trường và Positions=0.
2. Save; xem validation và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</si>
  <si>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Name=VAC_RUN10; Positions=-1
1. Mở Add, nhập đủ trường và -1 vào Positions.
2. Save; quan sát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</si>
  <si>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Name=VAC_RUN11; Positions='abc'
1. Mở Add, điền Name/QA Engineer/NVThangA101.
2. Nhập hoặc paste 'abc' vào Positions; Save.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</si>
  <si>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Name=VAC_RUN12; Active=On; Publish=Off
1. Mở Add, điền đủ trường.
2. Bật Active, tắt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</si>
  <si>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Name=VAC_RUN13; Active=Off; Publish=Off
1. Mở Add, nhập đủ trường.
2. Tắt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</si>
  <si>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Name=VAC_RUN14; Active=On; Publish=On
1. Mở Add, nhập đủ trường.
2. Bật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</si>
  <si>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Active=On→Off→On
1. Mở VAC_EDIT (Active=On).
2. Đổi Off, Save và reload.
3. Đổi lại On, Save và reload.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</si>
  <si>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Engineer; VAC_FILTER_A thuộc QA Engineer
1. Vào Vacancies; chọn Job Title=QA Engineer, Search.
2. Kiểm tra tên và Job Title trên từng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</si>
  <si>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NVThangA101; VAC_FILTER_A thuộc NVThangA101
1. Mở Vacancies, chọn Manager=NVThangA101, Search.
2.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</si>
  <si>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VAC_FILTER_A
1. Mở Vacancies, nhập/chọn đúng Vacancy Name=VAC_FILTER_A.
2. Search.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</si>
  <si>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Mở Vacancies; chọn QA Engineer và NVThangA101.
2. Search; đối chiếu mỗi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</si>
  <si>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VAC_NOT_EXIST_RUN
1. Tìm tên vacancy được bảo đảm chưa tồn tại.
2. Search; quan sát bảng.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</si>
  <si>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Áp dụng hai bộ lọc, Search.
2. Nhấn Reset.
3. Kiểm tra input và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</si>
  <si>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Description cũ→'Description updated RUN'
1. Ghi baseline của VAC_EDIT; mở edit.
2. Đổi Description, Save.
3. Reload, đối chiếu.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</si>
  <si>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Name=VAC_CANCEL_RUN; QA Engineer; NVThangA101
1. Mở Add, điền đầy đủ và chưa Save.
2. Nhấn Cancel, trở lại danh sách.
3. Tìm VAC_CANCEL_RUN.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</si>
  <si>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Name tạm='VAC_UNSAVED_RUN'
1. Ghi baseline; mở edit và đổi Name.
2. Nhấn Cancel trước Save.
3. Mở lại VAC_EDIT.
Kết thúc: khôi phục / dọn dẹp fixture theo Test Data; không dùng bản ghi của người khác.</t>
  </si>
  <si>
    <t>G01_23130299_R01</t>
  </si>
  <si>
    <t>Tiền điều kiện: Đã đăng nhập Admin/Recruitment; có QA Engineer, NVThangA101 hợp lệ; dữ liệu khác biệt theo RUN_ID.
Input: VAC_EDIT; Positions=4; NNLinhB201
1. Mở VAC_EDIT; chỉnh Positions=4, chọn NNLinhB201.
2. Save rồi reload.
Kết thúc: khôi phục / dọn dẹp fixture theo Test Data; không dùng bản ghi của người khác.</t>
  </si>
  <si>
    <t>G01_23130299_R01 chỉ là mẫu. Trước execution chọn RUN_ID duy nhất; resolve từng tên/email fixture chứa RUN, RUN_ID hoặc [RUN_ID] vào ledger theo TC, không replace toàn cục hoặc đổi input negative.</t>
  </si>
  <si>
    <t>Chưa xác minh. Chỉ dùng dữ liệu giả; chưa tạo fixture hoặc ghi timestamp execution.</t>
  </si>
  <si>
    <t>Chưa xác minh – đọc giới hạn thực tế trên OrangeHRM Demo trước execution.</t>
  </si>
  <si>
    <t>Tiền kiểm và extension</t>
  </si>
  <si>
    <t>Khi bắt đầu automation: kiểm tra/cài Katalon Recorder browser extension; ghi phiên bản thực tế của extension và browser, URL và quyền Recruitment.</t>
  </si>
  <si>
    <t>Xác minh extension hoạt động, mở được Vacancies/Candidates; lưu môi trường khi execution thật.</t>
  </si>
  <si>
    <t>Chưa cài/chạy trong lần sửa workbook; không tự điền phiên bản hoặc ngày chạy.</t>
  </si>
  <si>
    <t>Fixture riêng</t>
  </si>
  <si>
    <t>Chuẩn bị RUN_ID và ledger theo Test Data; xác minh JOB_A, MANAGER_A/B, INT_A/B; sau đó chuẩn bị vacancy/candidate đúng trạng thái.</t>
  </si>
  <si>
    <t>Ghi key, tên/email, baseline và status thực tế; kiểm tra tên không trùng trước từng case.</t>
  </si>
  <si>
    <t>QA Engineer cần kiểm tra lại; không tự tạo hoặc sửa employee/danh mục dùng chung.</t>
  </si>
  <si>
    <t>Suite và test case</t>
  </si>
  <si>
    <t>Tạo suite riêng cho RECRUIT_VAC, RECRUIT_CAND, RECRUIT_FLOW; tên test case giữ đúng TC_RECRUIT_* hiện tại.</t>
  </si>
  <si>
    <t>Đủ mapping TC–TD; chọn 3–5 smoke mỗi chức năng trước khi mở rộng.</t>
  </si>
  <si>
    <t>Chưa đổi 75 TC ID hoặc 15 TD ID; đề xuất đổi ID chờ nhóm trưởng xác nhận.</t>
  </si>
  <si>
    <t>Record và chỉnh bước</t>
  </si>
  <si>
    <t>Record thao tác trên OrangeHRM Demo ở giai đoạn automation; chỉnh Command, Target, Value; dùng input từ ledger đã xác minh.</t>
  </si>
  <si>
    <t>Mỗi thao tác có target đúng field/form/candidate; đối chiếu input, checkpoint và expected.</t>
  </si>
  <si>
    <t>Không record/tạo dữ liệu trong lần sửa workbook; không coi chuỗi click/type hoàn tất là Passed.</t>
  </si>
  <si>
    <t>Locator, dropdown, AJAX</t>
  </si>
  <si>
    <t>Khảo sát DOM thực tế; kiểm tra CSS/XPath duy nhất. Job Title theo loại dropdown; manager/interviewer phải chọn suggestion đúng người.</t>
  </si>
  <si>
    <t>Đợi suggestion và tập kết quả mới sau Search/Reset; kiểm tra positive/negative controls và pagination nếu cần.</t>
  </si>
  <si>
    <t>Không dự đoán selector; không chọn option theo index hoặc chỉ gõ tên mà không chọn autocomplete.</t>
  </si>
  <si>
    <t>Vacancies smoke</t>
  </si>
  <si>
    <t>Lỗi Required đúng field; không phát sinh record sai; dữ liệu mở lại và filter mặc định đúng expected.</t>
  </si>
  <si>
    <t>Fixture JOB_A/MANAGER_A, VAC_FILTER_A/B phải sẵn; biên 0/-1 chờ xác minh rule.</t>
  </si>
  <si>
    <t>Candidates smoke</t>
  </si>
  <si>
    <t>Tên/email/vacancy sau mở lại đúng; validation đúng field; không tạo hồ sơ invalid.</t>
  </si>
  <si>
    <t>Xác minh cách tìm đúng candidate; nhóm upload CV thực hiện sau preflight file/browser.</t>
  </si>
  <si>
    <t>Workflow smoke</t>
  </si>
  <si>
    <t>Assert status, interview title/interviewer/date/time/notes và Candidate History đúng candidate.</t>
  </si>
  <si>
    <t>Không lấy output TC trước làm setup ngầm; INT_A và định dạng ngày/giờ phải được xác minh.</t>
  </si>
  <si>
    <t>Giới hạn cần xác minh</t>
  </si>
  <si>
    <t>Chốt rule, control tìm kiếm, CV format/limit theo byte, capability upload/download và trạng thái theo UI.</t>
  </si>
  <si>
    <t>Không đổi Expected chỉ để Passed; chưa thực thi giữ Untested; thiếu fixture/capability khi chạy ghi Blocked kèm lý do.</t>
  </si>
  <si>
    <t>Wait và assertion</t>
  </si>
  <si>
    <t>Bổ sung wait/assertion đúng Command được phiên bản Recorder hỗ trợ; ví dụ waitForElementPresent, assertText, assertValue sau kiểm tra dropdown Command.</t>
  </si>
  <si>
    <t>Required tại đúng field; Save rồi mở lại; đợi dữ liệu cuối sau AJAX, không chỉ container tồn tại.</t>
  </si>
  <si>
    <t>Giới hạn timeout hữu hạn; không dùng pause dài thay đồng bộ; không đưa command của công cụ khác vào Recorder.</t>
  </si>
  <si>
    <t>Replay và evidence</t>
  </si>
  <si>
    <t>Chạy lại từng case rồi Play Suite; lưu log nguyên bản, ảnh checkpoint/lỗi, actual và status thật tại evidence/executions/23130299/&lt;RunID&gt;/&lt;CaseID&gt;/.</t>
  </si>
  <si>
    <t>Đối chiếu assertion trước khi điền Result, Test date, Note/evidence; giữ riêng run lỗi và rerun.</t>
  </si>
  <si>
    <t>Hiện chưa có execution; không điền ngày/kết quả giả. Chạy lại suite khi thay đổi hoặc sau tích hợp.</t>
  </si>
  <si>
    <t>Cleanup và khôi phục</t>
  </si>
  <si>
    <t>Ghi evidence trước cleanup; restore baseline của fixture edit; dọn candidate trước vacancy, chỉ xử lý key/record thuộc RUN_ID của mình.</t>
  </si>
  <si>
    <t>Kiểm tra từng record đã dọn hoặc còn cần dọn; lưu kết quả cleanup thực tế, không khẳng định chung đã xong.</t>
  </si>
  <si>
    <t>Case dừng vì assertion có thể bỏ qua bước cleanup cuối; cần checklist riêng. Không xóa employee/danh mục mượn dùng.</t>
  </si>
  <si>
    <t>Lưu suite và Git</t>
  </si>
  <si>
    <t>Lưu tại automation/23130299/KatalonRecorder/ theo chức năng; native HTML nếu phiên bản hỗ trợ, import lại để kiểm tra; kèm README setup/run/reset.</t>
  </si>
  <si>
    <t>Kiểm tra status trên NVThang; khi sẵn sàng mới commit/push nhánh cá nhân, PR vào dev, lưu ảnh push/merge thật.</t>
  </si>
  <si>
    <t>Chưa tạo suite/thư mục hoặc thao tác Git trong lần sửa này. Group01.txt đã có link; không cần tạo lại nhánh.</t>
  </si>
  <si>
    <t>RECRUIT_VAC_Create_01</t>
  </si>
  <si>
    <t>RECRUIT_VAC_Create_02</t>
  </si>
  <si>
    <t>RECRUIT_VAC_Create_03</t>
  </si>
  <si>
    <t>RECRUIT_VAC_Create_04</t>
  </si>
  <si>
    <t>RECRUIT_VAC_Create_05</t>
  </si>
  <si>
    <t>RECRUIT_VAC_Create_06</t>
  </si>
  <si>
    <t>RECRUIT_VAC_Create_07</t>
  </si>
  <si>
    <t>RECRUIT_VAC_Create_08</t>
  </si>
  <si>
    <t>RECRUIT_VAC_Create_09</t>
  </si>
  <si>
    <t>RECRUIT_VAC_Create_10</t>
  </si>
  <si>
    <t>RECRUIT_VAC_Create_11</t>
  </si>
  <si>
    <t>RECRUIT_VAC_Create_12</t>
  </si>
  <si>
    <t>RECRUIT_VAC_Create_13</t>
  </si>
  <si>
    <t>RECRUIT_VAC_Create_14</t>
  </si>
  <si>
    <t>RECRUIT_VAC_Update_01</t>
  </si>
  <si>
    <t>RECRUIT_VAC_Search_01</t>
  </si>
  <si>
    <t>RECRUIT_VAC_Search_02</t>
  </si>
  <si>
    <t>RECRUIT_VAC_Search_03</t>
  </si>
  <si>
    <t>RECRUIT_VAC_Filter_01</t>
  </si>
  <si>
    <t>RECRUIT_VAC_Filter_02</t>
  </si>
  <si>
    <t>RECRUIT_VAC_Reset_01</t>
  </si>
  <si>
    <t>RECRUIT_VAC_Update_02</t>
  </si>
  <si>
    <t>RECRUIT_VAC_Update_03</t>
  </si>
  <si>
    <t>RECRUIT_VAC_CancelCreate_01</t>
  </si>
  <si>
    <t>RECRUIT_VAC_CancelUpdate_01</t>
  </si>
  <si>
    <t>RECRUIT_CAND_Create_01</t>
  </si>
  <si>
    <t>RECRUIT_CAND_Create_02</t>
  </si>
  <si>
    <t>RECRUIT_CAND_Create_03</t>
  </si>
  <si>
    <t>RECRUIT_CAND_Create_04</t>
  </si>
  <si>
    <t>RECRUIT_CAND_Create_05</t>
  </si>
  <si>
    <t>RECRUIT_CAND_Create_06</t>
  </si>
  <si>
    <t>RECRUIT_CAND_Create_07</t>
  </si>
  <si>
    <t>RECRUIT_CAND_Create_08</t>
  </si>
  <si>
    <t>RECRUIT_CAND_Create_09</t>
  </si>
  <si>
    <t>RECRUIT_CAND_Create_10</t>
  </si>
  <si>
    <t>RECRUIT_CAND_Create_11</t>
  </si>
  <si>
    <t>RECRUIT_CAND_Create_12</t>
  </si>
  <si>
    <t>RECRUIT_CAND_UploadCV_01</t>
  </si>
  <si>
    <t>RECRUIT_CAND_UploadCV_02</t>
  </si>
  <si>
    <t>RECRUIT_CAND_UploadCV_03</t>
  </si>
  <si>
    <t>RECRUIT_CAND_UploadCV_04</t>
  </si>
  <si>
    <t>RECRUIT_CAND_UploadCV_05</t>
  </si>
  <si>
    <t>RECRUIT_CAND_Filter_01</t>
  </si>
  <si>
    <t>RECRUIT_CAND_Search_01</t>
  </si>
  <si>
    <t>RECRUIT_CAND_Filter_02</t>
  </si>
  <si>
    <t>RECRUIT_CAND_Filter_03</t>
  </si>
  <si>
    <t>RECRUIT_CAND_Reset_01</t>
  </si>
  <si>
    <t>RECRUIT_CAND_Update_01</t>
  </si>
  <si>
    <t>RECRUIT_CAND_CancelUpdate_01</t>
  </si>
  <si>
    <t>RECRUIT_CAND_VerifyDetails_01</t>
  </si>
  <si>
    <t>RECRUIT_FLOW_Status_01</t>
  </si>
  <si>
    <t>RECRUIT_FLOW_Shortlist_01</t>
  </si>
  <si>
    <t>RECRUIT_FLOW_Reject_01</t>
  </si>
  <si>
    <t>RECRUIT_FLOW_Reject_02</t>
  </si>
  <si>
    <t>RECRUIT_FLOW_CancelShortlist_01</t>
  </si>
  <si>
    <t>RECRUIT_FLOW_ScheduleInterview_01</t>
  </si>
  <si>
    <t>RECRUIT_FLOW_ScheduleInterview_02</t>
  </si>
  <si>
    <t>RECRUIT_FLOW_ScheduleInterview_03</t>
  </si>
  <si>
    <t>RECRUIT_FLOW_ScheduleInterview_04</t>
  </si>
  <si>
    <t>RECRUIT_FLOW_ScheduleInterview_05</t>
  </si>
  <si>
    <t>RECRUIT_FLOW_ScheduleInterview_06</t>
  </si>
  <si>
    <t>RECRUIT_FLOW_ScheduleInterview_07</t>
  </si>
  <si>
    <t>RECRUIT_FLOW_SelectInterviewer_01</t>
  </si>
  <si>
    <t>RECRUIT_FLOW_SelectInterviewer_02</t>
  </si>
  <si>
    <t>RECRUIT_FLOW_SelectInterviewer_03</t>
  </si>
  <si>
    <t>RECRUIT_FLOW_ValidateAction_01</t>
  </si>
  <si>
    <t>RECRUIT_FLOW_ValidateAction_02</t>
  </si>
  <si>
    <t>RECRUIT_FLOW_Status_02</t>
  </si>
  <si>
    <t>RECRUIT_FLOW_ValidateAction_03</t>
  </si>
  <si>
    <t>RECRUIT_FLOW_CancelReject_01</t>
  </si>
  <si>
    <t>RECRUIT_FLOW_VerifyDetails_01</t>
  </si>
  <si>
    <t>RECRUIT_FLOW_History_01</t>
  </si>
  <si>
    <t>RECRUIT_FLOW_History_02</t>
  </si>
  <si>
    <t>RECRUIT_FLOW_History_03</t>
  </si>
  <si>
    <t>RECRUIT_FLOW_History_04</t>
  </si>
  <si>
    <t>Giảng viên Trần Thị Thanh Nga</t>
  </si>
  <si>
    <t>RECRUIT_VAC_Update_01, RECRUIT_VAC_Update_02, RECRUIT_VAC_Update_03, RECRUIT_VAC_CancelCreate_01, RECRUIT_VAC_CancelUpdate_01</t>
  </si>
  <si>
    <t>RECRUIT_VAC_Search_01, RECRUIT_VAC_Search_02, RECRUIT_VAC_Search_03, RECRUIT_VAC_Filter_01, RECRUIT_VAC_Filter_02, RECRUIT_VAC_Reset_01</t>
  </si>
  <si>
    <t>RECRUIT_VAC_Search_03, RECRUIT_VAC_Filter_01</t>
  </si>
  <si>
    <t>RECRUIT_CAND_Update_01, RECRUIT_CAND_CancelUpdate_01, RECRUIT_CAND_VerifyDetails_01</t>
  </si>
  <si>
    <t>RECRUIT_CAND_Filter_01, RECRUIT_CAND_Search_01, RECRUIT_CAND_Filter_02, RECRUIT_CAND_Filter_03, RECRUIT_CAND_Reset_01</t>
  </si>
  <si>
    <t>RECRUIT_FLOW_Status_01, RECRUIT_FLOW_Shortlist_01, RECRUIT_FLOW_Reject_01, RECRUIT_FLOW_CancelShortlist_01, RECRUIT_FLOW_ValidateAction_01, RECRUIT_FLOW_VerifyDetails_01, RECRUIT_FLOW_History_01; RECRUIT_FLOW_Reject_02 dùng F_SHORT_04.</t>
  </si>
  <si>
    <t>RECRUIT_FLOW_Reject_02, RECRUIT_FLOW_ScheduleInterview_01, RECRUIT_FLOW_ScheduleInterview_02, RECRUIT_FLOW_ScheduleInterview_03, RECRUIT_FLOW_ScheduleInterview_04, RECRUIT_FLOW_ScheduleInterview_05, RECRUIT_FLOW_ScheduleInterview_06, RECRUIT_FLOW_ScheduleInterview_07, RECRUIT_FLOW_SelectInterviewer_01, RECRUIT_FLOW_SelectInterviewer_02, RECRUIT_FLOW_SelectInterviewer_03, RECRUIT_FLOW_ValidateAction_02, RECRUIT_FLOW_Status_02, RECRUIT_FLOW_CancelReject_01, RECRUIT_FLOW_History_02</t>
  </si>
  <si>
    <t>RECRUIT_FLOW_ValidateAction_03, RECRUIT_FLOW_History_03</t>
  </si>
  <si>
    <t>RECRUIT_FLOW_ScheduleInterview_01, RECRUIT_FLOW_ScheduleInterview_02, RECRUIT_FLOW_ScheduleInterview_03, RECRUIT_FLOW_ScheduleInterview_04, RECRUIT_FLOW_ScheduleInterview_05, RECRUIT_FLOW_ScheduleInterview_06, RECRUIT_FLOW_ScheduleInterview_07, RECRUIT_FLOW_SelectInterviewer_01, RECRUIT_FLOW_SelectInterviewer_02, RECRUIT_FLOW_SelectInterviewer_03, RECRUIT_FLOW_History_04</t>
  </si>
  <si>
    <t>RECRUIT_CAND_UploadCV_01, RECRUIT_CAND_UploadCV_02, RECRUIT_CAND_UploadCV_03, RECRUIT_CAND_UploadCV_04, RECRUIT_CAND_UploadCV_05</t>
  </si>
  <si>
    <t>RECRUIT_FLOW_ScheduleInterview_01, RECRUIT_FLOW_ScheduleInterview_02, RECRUIT_FLOW_ScheduleInterview_03, RECRUIT_FLOW_ScheduleInterview_04, RECRUIT_FLOW_ScheduleInterview_05, RECRUIT_FLOW_ScheduleInterview_06, RECRUIT_FLOW_ScheduleInterview_07; RECRUIT_CAND_Filter_03</t>
  </si>
  <si>
    <t>Ưu tiên RECRUIT_VAC_Create_01, RECRUIT_VAC_Create_03, RECRUIT_VAC_Create_04, RECRUIT_VAC_Create_05, RECRUIT_VAC_Reset_01; record Required đơn giản trước, sau đó create/persist và Reset.</t>
  </si>
  <si>
    <t>Ưu tiên RECRUIT_CAND_Create_01, RECRUIT_CAND_Create_03, RECRUIT_CAND_Create_04, RECRUIT_CAND_Create_05, RECRUIT_CAND_Create_09; chạy sau khi VAC_A được chuẩn bị và xác minh.</t>
  </si>
  <si>
    <t>Ưu tiên RECRUIT_FLOW_Status_01, RECRUIT_FLOW_Shortlist_01, RECRUIT_FLOW_Reject_01, RECRUIT_FLOW_ScheduleInterview_01, RECRUIT_FLOW_ScheduleInterview_02; mỗi nhánh có F_NEW/F_SHORT riêng đúng trạng thái.</t>
  </si>
  <si>
    <t>Review RECRUIT_VAC_Create_06, RECRUIT_VAC_Create_09, RECRUIT_VAC_Create_10, RECRUIT_VAC_Filter_02; RECRUIT_CAND_Create_06, RECRUIT_CAND_Create_07, RECRUIT_CAND_Create_11, RECRUIT_CAND_UploadCV_01, RECRUIT_CAND_UploadCV_02, RECRUIT_CAND_UploadCV_03, RECRUIT_CAND_UploadCV_04, RECRUIT_CAND_UploadCV_05; RECRUIT_FLOW_ScheduleInterview_06, RECRUIT_FLOW_SelectInterviewer_02, RECRUIT_FLOW_SelectInterviewer_03, RECRUIT_FLOW_ValidateAction_03, RECRUIT_FLOW_VerifyDetails_01 và các nhãn History còn điều kiện.</t>
  </si>
  <si>
    <t>Kiểm thử tạo Vacancy với 7 trường hợp đầu tiên (Create_01–07), bao gồm các điều kiện nhập liệu và xác thực biểu mẫu.</t>
  </si>
  <si>
    <t>Kiểm thử các trường hợp tạo Vacancy tiếp theo (Create_08–11), tập trung vào kiểm tra dữ liệu đầu vào.</t>
  </si>
  <si>
    <t>Kiểm thử các trường hợp tạo Vacancy (Create_12–14) và cập nhật Vacancy (Update_01).</t>
  </si>
  <si>
    <t>Kiểm thử tìm kiếm (Search_01–03), lọc (Filter_01–02) và đặt lại bộ lọc Vacancy (Reset_01).</t>
  </si>
  <si>
    <t>Kiểm thử cập nhật Vacancy (Update_02–03), hủy tạo mới (CancelCreate_01) và hủy chỉnh sửa (CancelUpdate_01).</t>
  </si>
  <si>
    <t>Kiểm thử thêm Candidate với 7 trường hợp đầu tiên (Create_01–07), bao gồm nhập thông tin và xác thực dữ liệu.</t>
  </si>
  <si>
    <t>Kiểm thử các trường hợp thêm Candidate tiếp theo (Create_08–12), tập trung vào kiểm tra dữ liệu đầu vào.</t>
  </si>
  <si>
    <t>Kiểm thử tải lên CV với 5 trường hợp (UploadCV_01–05), bao gồm các điều kiện kiểm tra tệp.</t>
  </si>
  <si>
    <t>Kiểm thử lọc Candidate (Filter_01–03), tìm kiếm (Search_01) và đặt lại bộ lọc (Reset_01).</t>
  </si>
  <si>
    <t>Kiểm thử cập nhật Candidate (Update_01), hủy chỉnh sửa (CancelUpdate_01) và xác minh thông tin chi tiết (VerifyDetails_01).</t>
  </si>
  <si>
    <t>Kiểm thử trạng thái Candidate (Status_01), Shortlist, Reject (Reject_01–02) và hủy Shortlist.</t>
  </si>
  <si>
    <t>Kiểm thử lên lịch phỏng vấn với 7 trường hợp (ScheduleInterview_01–07), bao gồm nhập liệu và xác thực lịch phỏng vấn.</t>
  </si>
  <si>
    <t>Kiểm thử lựa chọn Interviewer với 3 trường hợp (SelectInterviewer_01–03).</t>
  </si>
  <si>
    <t>Kiểm thử tính hợp lệ của thao tác Workflow (ValidateAction_01–03), thay đổi trạng thái (Status_02) và hủy Reject.</t>
  </si>
  <si>
    <t>Kiểm thử thông tin chi tiết Candidate (VerifyDetails_01) và lịch sử xử lý hồ sơ (History_01–04).</t>
  </si>
  <si>
    <t>Katalon Studio – Recruitment của Nguyễn Văn Thắng</t>
  </si>
  <si>
    <t>OrangeHRM Open Source Demo; quyền Admin/Recruitment; Katalon Studio. Phiên bản Studio: Đã xác minh.</t>
  </si>
  <si>
    <t>TD_RECRUIT_VAC_01
Positive; Phân vùng tương đương
Automation: P1
Run 20261023_115454: PASSED theo execution report.
Ảnh: RECRUIT_VAC_Create_01\20261023_115501_970</t>
  </si>
  <si>
    <t>TD_RECRUIT_VAC_01
Positive; Phân vùng tương đương
Automation: P1
Run 20261023_115454: PASSED theo execution report.
Ảnh: RECRUIT_VAC_Create_02\20261023_115554_453</t>
  </si>
  <si>
    <t>TD_RECRUIT_VAC_01
Negative; Phân vùng tương đương
Automation: P1
Run 20261023_115454: PASSED theo execution report.
Ảnh: RECRUIT_VAC_Create_03\20261023_115632_409</t>
  </si>
  <si>
    <t>TD_RECRUIT_VAC_01
Negative; Phân vùng tương đương
Automation: P1
Run 20261023_115454: PASSED theo execution report.
Ảnh: RECRUIT_VAC_Create_04\20261023_115648_301</t>
  </si>
  <si>
    <t>TD_RECRUIT_VAC_01
Negative; Phân vùng tương đương
Automation: P1
Run 20261023_115454: PASSED theo execution report.
Ảnh: RECRUIT_VAC_Create_05\20261023_115705_926</t>
  </si>
  <si>
    <t>TD_RECRUIT_VAC_01
Negative; Phân vùng tương đương
Automation: P1
Cần kiểm tra UI: Xác nhận trim trên demo trước khi cố định expected.
Run 20261023_115454: PASSED theo execution report.
Ảnh: RECRUIT_VAC_Create_06\20261023_115719_740</t>
  </si>
  <si>
    <t>TD_RECRUIT_VAC_01
Positive; Phân vùng tương đương / Autocomplete
Automation: P1
Run 20261023_115454: PASSED theo execution report.
Ảnh: RECRUIT_VAC_Create_07\20261023_115737_960</t>
  </si>
  <si>
    <t>TD_RECRUIT_VAC_02
Positive; Phân tích giá trị biên
Automation: P1
Run 20261023_115454: PASSED theo execution report.
Ảnh: RECRUIT_VAC_Create_08\20261023_115805_408</t>
  </si>
  <si>
    <t>TD_RECRUIT_VAC_02
Negative; Phân tích giá trị biên
Automation: P1
Cần kiểm tra UI: Kiểm tra giới hạn số lượng của bản demo; cập nhật nếu 0 được phép.
Run 20261023_115454: PASSED theo execution report.
Ảnh: RECRUIT_VAC_Create_09\20261023_115832_715</t>
  </si>
  <si>
    <t>TD_RECRUIT_VAC_02
Negative; Phân tích giá trị biên
Automation: P1
Cần kiểm tra UI: Xác nhận có ràng buộc &gt;=1.
Run 20261023_115454: PASSED theo execution report.
Ảnh: RECRUIT_VAC_Create_10\20261023_115853_350</t>
  </si>
  <si>
    <t>TD_RECRUIT_VAC_02
Negative; Phân tích giá trị biên
Automation: P1
Run 20261023_115454: PASSED theo execution report.
Ảnh: RECRUIT_VAC_Create_11\20261023_115923_537</t>
  </si>
  <si>
    <t>TD_RECRUIT_VAC_03
Positive; Chuyển trạng thái
Automation: P1
Run 20261023_115454: PASSED theo execution report.
Ảnh: RECRUIT_VAC_Create_12\20261023_115952_922</t>
  </si>
  <si>
    <t>TD_RECRUIT_VAC_03
Positive; Chuyển trạng thái
Automation: P1
Run 20261023_115454: PASSED theo execution report.
Ảnh: RECRUIT_VAC_Create_13\20261023_120026_939</t>
  </si>
  <si>
    <t>TD_RECRUIT_VAC_03
Positive; Chuyển trạng thái
Automation: P1
Run 20261023_115454: PASSED theo execution report.
Ảnh: RECRUIT_VAC_Create_14\20261023_120057_775</t>
  </si>
  <si>
    <t>TD_RECRUIT_VAC_03
Positive; Chuyển trạng thái
Automation: P1
Run 20261023_115454: PASSED theo execution report.
Ảnh: RECRUIT_VAC_Update_01\20261023_120127_246</t>
  </si>
  <si>
    <t>TD_RECRUIT_VAC_04
Positive; Phân vùng tương đương
Automation: P1
Run 20261023_115454: PASSED theo execution report.
Ảnh: RECRUIT_VAC_Search_01\20261023_120214_025</t>
  </si>
  <si>
    <t>TD_RECRUIT_VAC_04
Positive; Phân vùng tương đương
Automation: P1
Run 20261023_115454: PASSED theo execution report.
Ảnh: RECRUIT_VAC_Search_02\20261023_120300_138</t>
  </si>
  <si>
    <t>TD_RECRUIT_VAC_04
Positive; Phân vùng tương đương
Automation: P1
Run 20261023_115454: PASSED theo execution report.
Ảnh: RECRUIT_VAC_Search_03\20261023_120351_395</t>
  </si>
  <si>
    <t>TD_RECRUIT_VAC_04
Positive; Bảng quyết định
Automation: P1
Run 20261023_115454: PASSED theo execution report.
Ảnh: RECRUIT_VAC_Filter_01\20261023_120426_216</t>
  </si>
  <si>
    <t>TD_RECRUIT_VAC_04
Negative; Phân vùng tương đương
Automation: P1
Run 20261023_115454: PASSED theo execution report.
Ảnh: RECRUIT_VAC_Filter_02\20261023_120523_413</t>
  </si>
  <si>
    <t>TD_RECRUIT_VAC_04
Positive; Chuyển trạng thái
Automation: P1
Run 20261023_115454: PASSED theo execution report.
Ảnh: RECRUIT_VAC_Reset_01\20261023_120602_233</t>
  </si>
  <si>
    <t>TD_RECRUIT_VAC_05
Positive; Phân vùng tương đương
Automation: P1
Run 20261023_115454: ERROR (Katalon) – Timeout chờ toast Successfully Updated; không đủ bằng chứng xác nhận persistence.
Ảnh: RECRUIT_VAC_Update_02\20261023_120736_956</t>
  </si>
  <si>
    <t>TD_RECRUIT_VAC_05
Positive; Phân vùng tương đương
Automation: P1
Run 20261023_115454: ERROR (Katalon) – Timeout chờ toast Successfully Updated; không đủ bằng chứng xác nhận persistence.
Ảnh: RECRUIT_VAC_Update_03\20261023_120838_516</t>
  </si>
  <si>
    <t>TD_RECRUIT_VAC_05
Positive; Chuyển trạng thái
Automation: P1
Run 20261023_115454: PASSED theo execution report.
Ảnh: RECRUIT_VAC_CancelCreate_01\20261023_121008_008</t>
  </si>
  <si>
    <t>TD_RECRUIT_VAC_05
Positive; Chuyển trạng thái
Automation: P1
Run 20261023_115454: PASSED theo execution report.
Ảnh: RECRUIT_VAC_CancelUpdate_01\20261023_121027_749</t>
  </si>
  <si>
    <t>Đã thực hiện Katalon Studio</t>
  </si>
  <si>
    <t>Đã chuẩn bị RECRUIT_VAC</t>
  </si>
  <si>
    <t>Đã tổ chức suite RECRUIT_VAC</t>
  </si>
  <si>
    <t>Đã thực hiện RECRUIT_VAC</t>
  </si>
  <si>
    <t>Chưa thực hiện RECRUIT_CAND</t>
  </si>
  <si>
    <t>Chưa thực hiện RECRUIT_FLOW</t>
  </si>
  <si>
    <t>Đã rà soát RECRUIT_VAC</t>
  </si>
  <si>
    <t>Đã chạy RECRUIT_VAC</t>
  </si>
  <si>
    <t>Đã lưu suite, Git xác nhận</t>
  </si>
  <si>
    <t>Xác nhận cleanup dữ liệu</t>
  </si>
  <si>
    <t>1.1</t>
  </si>
  <si>
    <t>Triển khai 25 test case bằng Katalon Studio 11.6; kết quả 23 Passed, 2 Error; bổ sung Test Report và Screenshot Evidence</t>
  </si>
  <si>
    <t>RECRUIT_VAC Automation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</si>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</sst>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rgb="FF000000"/>
      <name val="Carlito"/>
      <scheme val="minor"/>
    </font>
    <font>
      <b/>
      <sz val="10"/>
      <color rgb="FFFFFFFF"/>
      <name val="Tahoma"/>
    </font>
    <font>
      <sz val="10"/>
      <color rgb="FF172033"/>
      <name val="Tahoma"/>
    </font>
    <font>
      <b/>
      <sz val="16"/>
      <color rgb="FF111111"/>
      <name val="Tahoma"/>
    </font>
    <font>
      <b/>
      <sz val="10"/>
      <color rgb="FF172033"/>
      <name val="Tahoma"/>
    </font>
    <font>
      <sz val="11"/>
      <name val="Carlito"/>
    </font>
    <font>
      <sz val="10"/>
      <color rgb="FF172033"/>
      <name val="Tahoma"/>
      <family val="2"/>
    </font>
    <font>
      <u/>
      <sz val="11"/>
      <color theme="10"/>
      <name val="Carlito"/>
      <scheme val="minor"/>
    </font>
    <font>
      <b/>
      <sz val="16"/>
      <color rgb="FF111111"/>
      <name val="Tahoma"/>
      <family val="2"/>
    </font>
    <font>
      <sz val="11"/>
      <color rgb="FF000000"/>
      <name val="Carlito"/>
    </font>
    <font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EAF0F8"/>
      </patternFill>
    </fill>
    <fill>
      <patternFill patternType="solid">
        <fgColor rgb="FFFFF6D5"/>
      </patternFill>
    </fill>
    <fill>
      <patternFill patternType="solid">
        <fgColor rgb="FFF4F7FB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667085"/>
      </left>
      <right style="thin">
        <color rgb="FF667085"/>
      </right>
      <top style="thin">
        <color rgb="FF667085"/>
      </top>
      <bottom style="thin">
        <color rgb="FF667085"/>
      </bottom>
      <diagonal/>
    </border>
    <border>
      <left/>
      <right style="thin">
        <color rgb="FF667085"/>
      </right>
      <top style="thin">
        <color rgb="FF667085"/>
      </top>
      <bottom style="thin">
        <color rgb="FF6670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667085"/>
      </left>
      <right/>
      <top style="thin">
        <color rgb="FF667085"/>
      </top>
      <bottom style="thin">
        <color rgb="FF667085"/>
      </bottom>
      <diagonal/>
    </border>
    <border>
      <left/>
      <right/>
      <top style="thin">
        <color rgb="FF667085"/>
      </top>
      <bottom style="thin">
        <color rgb="FF667085"/>
      </bottom>
      <diagonal/>
    </border>
  </borders>
  <cellStyleXfs count="5">
    <xf numFmtId="0" fontId="0" fillId="0" borderId="0"/>
    <xf numFmtId="0" fontId="5" fillId="0" borderId="1"/>
    <xf numFmtId="0" fontId="7" fillId="0" borderId="0" applyNumberFormat="0" applyFill="0" applyBorder="0" applyAlignment="0" applyProtection="0"/>
    <xf numFmtId="0" fontId="9" fillId="0" borderId="1"/>
    <xf numFmtId="0" fontId="10" fillId="0" borderId="1" applyNumberForma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14" fontId="2" fillId="0" borderId="2" xfId="0" applyNumberFormat="1" applyFont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top" wrapText="1"/>
    </xf>
    <xf numFmtId="0" fontId="2" fillId="5" borderId="3" xfId="0" applyFont="1" applyFill="1" applyBorder="1" applyAlignment="1">
      <alignment vertical="top" wrapText="1"/>
    </xf>
    <xf numFmtId="0" fontId="0" fillId="0" borderId="1" xfId="0" applyBorder="1"/>
    <xf numFmtId="0" fontId="2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top" wrapText="1"/>
    </xf>
    <xf numFmtId="0" fontId="2" fillId="5" borderId="4" xfId="0" applyFont="1" applyFill="1" applyBorder="1" applyAlignment="1">
      <alignment vertical="top" wrapText="1"/>
    </xf>
    <xf numFmtId="0" fontId="2" fillId="0" borderId="5" xfId="0" applyFont="1" applyBorder="1" applyAlignment="1">
      <alignment vertical="center" wrapText="1"/>
    </xf>
    <xf numFmtId="0" fontId="7" fillId="0" borderId="2" xfId="2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6" fillId="5" borderId="2" xfId="0" applyFont="1" applyFill="1" applyBorder="1" applyAlignment="1">
      <alignment vertical="top" wrapText="1"/>
    </xf>
    <xf numFmtId="14" fontId="2" fillId="0" borderId="2" xfId="0" applyNumberFormat="1" applyFont="1" applyBorder="1" applyAlignment="1">
      <alignment horizontal="left" vertical="center" wrapText="1"/>
    </xf>
    <xf numFmtId="0" fontId="2" fillId="0" borderId="2" xfId="3" applyFont="1" applyBorder="1" applyAlignment="1">
      <alignment horizontal="left" vertical="center" wrapText="1"/>
    </xf>
    <xf numFmtId="14" fontId="2" fillId="4" borderId="2" xfId="3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/>
    <xf numFmtId="0" fontId="2" fillId="0" borderId="2" xfId="0" applyFont="1" applyBorder="1" applyAlignment="1">
      <alignment vertical="center" wrapText="1"/>
    </xf>
    <xf numFmtId="0" fontId="5" fillId="0" borderId="2" xfId="0" applyFont="1" applyBorder="1"/>
    <xf numFmtId="0" fontId="4" fillId="0" borderId="2" xfId="0" applyFont="1" applyBorder="1" applyAlignment="1">
      <alignment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2" xfId="0" applyBorder="1"/>
    <xf numFmtId="0" fontId="6" fillId="0" borderId="2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164" fontId="2" fillId="0" borderId="2" xfId="0" applyNumberFormat="1" applyFont="1" applyBorder="1" applyAlignment="1">
      <alignment vertical="center" wrapText="1"/>
    </xf>
  </cellXfs>
  <cellStyles count="5">
    <cellStyle name="Hyperlink" xfId="2" builtinId="8"/>
    <cellStyle name="Hyperlink 2" xfId="4" xr:uid="{0238528A-F37D-4FD9-878F-68D57738BE03}"/>
    <cellStyle name="Normal" xfId="0" builtinId="0"/>
    <cellStyle name="Normal 2" xfId="1" xr:uid="{BA7E7360-1265-45E6-A2FE-F218883DFA75}"/>
    <cellStyle name="Normal 3" xfId="3" xr:uid="{0F7F3863-1CDF-4818-824C-BDB45FB4C1B1}"/>
  </cellStyles>
  <dxfs count="12"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help.orangehrm.com/hc/en-us/articles/10457315002777-How-To-Add-Candidates-To-Created-Vacancies" TargetMode="External"/><Relationship Id="rId2" Type="http://schemas.openxmlformats.org/officeDocument/2006/relationships/hyperlink" Target="https://help.orangehrm.com/hc/en-us/articles/18264958234649-How-to-Create-a-New-Vacancy-in-OrangeHRM" TargetMode="External"/><Relationship Id="rId1" Type="http://schemas.openxmlformats.org/officeDocument/2006/relationships/hyperlink" Target="https://opensource-demo.orangehrmlive.com/" TargetMode="External"/><Relationship Id="rId6" Type="http://schemas.openxmlformats.org/officeDocument/2006/relationships/hyperlink" Target="https://www.orangehrm.com/assets/Files/Advanced-Recruitment-User-Guide.pdf" TargetMode="External"/><Relationship Id="rId5" Type="http://schemas.openxmlformats.org/officeDocument/2006/relationships/hyperlink" Target="https://help.orangehrm.com/hc/en-us/articles/35482924971673-Usability-Improvements-in-Recruitment-Module" TargetMode="External"/><Relationship Id="rId4" Type="http://schemas.openxmlformats.org/officeDocument/2006/relationships/hyperlink" Target="https://help.orangehrm.com/hc/en-us/articles/10876907600153-How-to-View-and-Manage-a-Candidate-Profi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1"/>
  <sheetViews>
    <sheetView showGridLines="0" workbookViewId="0">
      <selection activeCell="I13" sqref="I13"/>
    </sheetView>
  </sheetViews>
  <sheetFormatPr defaultColWidth="12.59765625" defaultRowHeight="13.8"/>
  <cols>
    <col min="1" max="1" width="3" customWidth="1"/>
    <col min="2" max="2" width="22" customWidth="1"/>
    <col min="3" max="4" width="20" customWidth="1"/>
    <col min="5" max="5" width="15" customWidth="1"/>
    <col min="6" max="6" width="24" customWidth="1"/>
    <col min="7" max="7" width="34" customWidth="1"/>
    <col min="8" max="8" width="12" customWidth="1"/>
    <col min="9" max="26" width="8.59765625" customWidth="1"/>
  </cols>
  <sheetData>
    <row r="2" spans="2:8" ht="42" customHeight="1">
      <c r="B2" s="44" t="s">
        <v>0</v>
      </c>
      <c r="C2" s="45"/>
      <c r="D2" s="45"/>
      <c r="E2" s="45"/>
      <c r="F2" s="45"/>
      <c r="G2" s="45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3" t="s">
        <v>1</v>
      </c>
      <c r="C4" s="46" t="s">
        <v>89</v>
      </c>
      <c r="D4" s="47"/>
      <c r="E4" s="47"/>
      <c r="F4" s="3" t="s">
        <v>2</v>
      </c>
      <c r="G4" s="4" t="s">
        <v>84</v>
      </c>
      <c r="H4" s="1"/>
    </row>
    <row r="5" spans="2:8" ht="34.049999999999997" customHeight="1">
      <c r="B5" s="3" t="s">
        <v>3</v>
      </c>
      <c r="C5" s="46" t="s">
        <v>4</v>
      </c>
      <c r="D5" s="47"/>
      <c r="E5" s="47"/>
      <c r="F5" s="3" t="s">
        <v>5</v>
      </c>
      <c r="G5" s="4" t="s">
        <v>620</v>
      </c>
      <c r="H5" s="1"/>
    </row>
    <row r="6" spans="2:8">
      <c r="B6" s="48" t="s">
        <v>6</v>
      </c>
      <c r="C6" s="46" t="s">
        <v>88</v>
      </c>
      <c r="D6" s="47"/>
      <c r="E6" s="47"/>
      <c r="F6" s="3" t="s">
        <v>7</v>
      </c>
      <c r="G6" s="33">
        <v>46313</v>
      </c>
      <c r="H6" s="1"/>
    </row>
    <row r="7" spans="2:8">
      <c r="B7" s="47"/>
      <c r="C7" s="47"/>
      <c r="D7" s="47"/>
      <c r="E7" s="47"/>
      <c r="F7" s="3" t="s">
        <v>8</v>
      </c>
      <c r="G7" s="4" t="s">
        <v>9</v>
      </c>
      <c r="H7" s="1"/>
    </row>
    <row r="8" spans="2:8">
      <c r="B8" s="1"/>
      <c r="C8" s="1"/>
      <c r="D8" s="1"/>
      <c r="E8" s="1"/>
      <c r="F8" s="1"/>
      <c r="G8" s="1"/>
      <c r="H8" s="1"/>
    </row>
    <row r="9" spans="2:8">
      <c r="B9" s="1"/>
      <c r="C9" s="1"/>
      <c r="D9" s="1"/>
      <c r="E9" s="1"/>
      <c r="F9" s="1"/>
      <c r="G9" s="1"/>
      <c r="H9" s="1"/>
    </row>
    <row r="10" spans="2:8">
      <c r="B10" s="2" t="s">
        <v>10</v>
      </c>
      <c r="C10" s="1"/>
      <c r="D10" s="1"/>
      <c r="E10" s="1"/>
      <c r="F10" s="1"/>
      <c r="G10" s="1"/>
      <c r="H10" s="1"/>
    </row>
    <row r="11" spans="2:8" ht="45.75" customHeight="1">
      <c r="B11" s="6" t="s">
        <v>11</v>
      </c>
      <c r="C11" s="6" t="s">
        <v>8</v>
      </c>
      <c r="D11" s="6" t="s">
        <v>12</v>
      </c>
      <c r="E11" s="6" t="s">
        <v>13</v>
      </c>
      <c r="F11" s="6" t="s">
        <v>14</v>
      </c>
      <c r="G11" s="6" t="s">
        <v>15</v>
      </c>
      <c r="H11" s="1"/>
    </row>
    <row r="12" spans="2:8" ht="45.75" customHeight="1">
      <c r="B12" s="5">
        <v>46313</v>
      </c>
      <c r="C12" s="4" t="s">
        <v>9</v>
      </c>
      <c r="D12" s="4" t="s">
        <v>86</v>
      </c>
      <c r="E12" s="4" t="s">
        <v>16</v>
      </c>
      <c r="F12" s="4" t="s">
        <v>87</v>
      </c>
      <c r="G12" s="4" t="s">
        <v>17</v>
      </c>
      <c r="H12" s="1"/>
    </row>
    <row r="13" spans="2:8" ht="65.400000000000006" customHeight="1">
      <c r="B13" s="5">
        <v>46318</v>
      </c>
      <c r="C13" s="4" t="s">
        <v>688</v>
      </c>
      <c r="D13" s="4" t="s">
        <v>690</v>
      </c>
      <c r="E13" s="4" t="s">
        <v>691</v>
      </c>
      <c r="F13" s="4" t="s">
        <v>689</v>
      </c>
      <c r="G13" s="4" t="s">
        <v>17</v>
      </c>
      <c r="H13" s="1"/>
    </row>
    <row r="14" spans="2:8" ht="45.75" customHeight="1">
      <c r="B14" s="37"/>
      <c r="C14" s="15"/>
      <c r="D14" s="15"/>
      <c r="E14" s="15"/>
      <c r="F14" s="15"/>
      <c r="G14" s="15"/>
      <c r="H14" s="1"/>
    </row>
    <row r="15" spans="2:8">
      <c r="B15" s="1"/>
      <c r="C15" s="1"/>
      <c r="D15" s="1"/>
      <c r="E15" s="1"/>
      <c r="F15" s="1"/>
      <c r="G15" s="1"/>
      <c r="H15" s="1"/>
    </row>
    <row r="16" spans="2:8" ht="24.75" customHeight="1">
      <c r="B16" s="3" t="s">
        <v>18</v>
      </c>
      <c r="C16" s="49">
        <v>23130299</v>
      </c>
      <c r="D16" s="50"/>
      <c r="E16" s="50"/>
      <c r="F16" s="50"/>
      <c r="G16" s="51"/>
      <c r="H16" s="1"/>
    </row>
    <row r="17" spans="2:8" ht="24.75" customHeight="1">
      <c r="B17" s="3" t="s">
        <v>19</v>
      </c>
      <c r="C17" s="38" t="s">
        <v>20</v>
      </c>
      <c r="D17" s="39"/>
      <c r="E17" s="39"/>
      <c r="F17" s="39"/>
      <c r="G17" s="40"/>
      <c r="H17" s="1"/>
    </row>
    <row r="18" spans="2:8" ht="24.75" customHeight="1">
      <c r="B18" s="3" t="s">
        <v>21</v>
      </c>
      <c r="C18" s="38" t="s">
        <v>85</v>
      </c>
      <c r="D18" s="39"/>
      <c r="E18" s="39"/>
      <c r="F18" s="39"/>
      <c r="G18" s="40"/>
      <c r="H18" s="1"/>
    </row>
    <row r="19" spans="2:8" ht="24.75" customHeight="1">
      <c r="B19" s="3" t="s">
        <v>22</v>
      </c>
      <c r="C19" s="38" t="s">
        <v>23</v>
      </c>
      <c r="D19" s="39"/>
      <c r="E19" s="39"/>
      <c r="F19" s="39"/>
      <c r="G19" s="40"/>
      <c r="H19" s="1"/>
    </row>
    <row r="20" spans="2:8" ht="36" customHeight="1">
      <c r="B20" s="3" t="s">
        <v>24</v>
      </c>
      <c r="C20" s="38" t="s">
        <v>651</v>
      </c>
      <c r="D20" s="39"/>
      <c r="E20" s="39"/>
      <c r="F20" s="39"/>
      <c r="G20" s="40"/>
      <c r="H20" s="1"/>
    </row>
    <row r="21" spans="2:8" ht="24.75" customHeight="1">
      <c r="B21" s="3" t="s">
        <v>25</v>
      </c>
      <c r="C21" s="41" t="s">
        <v>90</v>
      </c>
      <c r="D21" s="42"/>
      <c r="E21" s="42"/>
      <c r="F21" s="42"/>
      <c r="G21" s="43"/>
      <c r="H21" s="1"/>
    </row>
    <row r="22" spans="2:8" ht="15.75" customHeight="1">
      <c r="B22" s="1"/>
      <c r="C22" s="1"/>
      <c r="D22" s="1"/>
      <c r="E22" s="1"/>
      <c r="F22" s="1"/>
      <c r="G22" s="1"/>
      <c r="H22" s="1"/>
    </row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1">
    <mergeCell ref="C18:G18"/>
    <mergeCell ref="C19:G19"/>
    <mergeCell ref="C20:G20"/>
    <mergeCell ref="C21:G21"/>
    <mergeCell ref="B2:G2"/>
    <mergeCell ref="C4:E4"/>
    <mergeCell ref="C5:E5"/>
    <mergeCell ref="B6:B7"/>
    <mergeCell ref="C6:E7"/>
    <mergeCell ref="C16:G16"/>
    <mergeCell ref="C17:G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showGridLines="0" workbookViewId="0">
      <pane ySplit="8" topLeftCell="A9" activePane="bottomLeft" state="frozen"/>
      <selection pane="bottomLeft" activeCell="D9" sqref="D9"/>
    </sheetView>
  </sheetViews>
  <sheetFormatPr defaultColWidth="12.59765625" defaultRowHeight="13.8"/>
  <cols>
    <col min="1" max="1" width="3" customWidth="1"/>
    <col min="2" max="2" width="7" customWidth="1"/>
    <col min="3" max="3" width="30" customWidth="1"/>
    <col min="4" max="4" width="24" customWidth="1"/>
    <col min="5" max="5" width="48" customWidth="1"/>
    <col min="6" max="6" width="45" customWidth="1"/>
    <col min="7" max="8" width="10" customWidth="1"/>
    <col min="9" max="26" width="8.59765625" customWidth="1"/>
  </cols>
  <sheetData>
    <row r="2" spans="2:8" ht="42" customHeight="1">
      <c r="B2" s="53" t="s">
        <v>26</v>
      </c>
      <c r="C2" s="45"/>
      <c r="D2" s="45"/>
      <c r="E2" s="45"/>
      <c r="F2" s="45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46" t="s">
        <v>1</v>
      </c>
      <c r="C4" s="54"/>
      <c r="D4" s="46" t="str">
        <f>Cover!C4</f>
        <v>OrangeHRM Recruitment</v>
      </c>
      <c r="E4" s="54"/>
      <c r="F4" s="54"/>
      <c r="G4" s="1"/>
      <c r="H4" s="1"/>
    </row>
    <row r="5" spans="2:8">
      <c r="B5" s="46" t="s">
        <v>3</v>
      </c>
      <c r="C5" s="54"/>
      <c r="D5" s="46" t="str">
        <f>Cover!C5</f>
        <v>Group01_OrangeHRM</v>
      </c>
      <c r="E5" s="54"/>
      <c r="F5" s="54"/>
      <c r="G5" s="1"/>
      <c r="H5" s="1"/>
    </row>
    <row r="6" spans="2:8" ht="48" customHeight="1">
      <c r="B6" s="55" t="s">
        <v>27</v>
      </c>
      <c r="C6" s="54"/>
      <c r="D6" s="41" t="s">
        <v>652</v>
      </c>
      <c r="E6" s="56"/>
      <c r="F6" s="57"/>
      <c r="G6" s="1"/>
      <c r="H6" s="1"/>
    </row>
    <row r="7" spans="2:8">
      <c r="B7" s="1"/>
      <c r="C7" s="1"/>
      <c r="D7" s="1"/>
      <c r="E7" s="1"/>
      <c r="F7" s="1"/>
      <c r="G7" s="1"/>
      <c r="H7" s="1"/>
    </row>
    <row r="8" spans="2:8">
      <c r="B8" s="6" t="s">
        <v>28</v>
      </c>
      <c r="C8" s="6" t="s">
        <v>29</v>
      </c>
      <c r="D8" s="6" t="s">
        <v>30</v>
      </c>
      <c r="E8" s="6" t="s">
        <v>31</v>
      </c>
      <c r="F8" s="6" t="s">
        <v>32</v>
      </c>
      <c r="G8" s="1"/>
      <c r="H8" s="1"/>
    </row>
    <row r="9" spans="2:8" ht="73.5" customHeight="1">
      <c r="B9" s="4">
        <v>1</v>
      </c>
      <c r="C9" s="4" t="s">
        <v>91</v>
      </c>
      <c r="D9" s="4" t="s">
        <v>94</v>
      </c>
      <c r="E9" s="4" t="s">
        <v>95</v>
      </c>
      <c r="F9" s="4" t="s">
        <v>98</v>
      </c>
      <c r="G9" s="1"/>
      <c r="H9" s="1"/>
    </row>
    <row r="10" spans="2:8" ht="73.5" customHeight="1">
      <c r="B10" s="4">
        <v>2</v>
      </c>
      <c r="C10" s="4" t="s">
        <v>92</v>
      </c>
      <c r="D10" s="4" t="s">
        <v>114</v>
      </c>
      <c r="E10" s="4" t="s">
        <v>96</v>
      </c>
      <c r="F10" s="4" t="s">
        <v>99</v>
      </c>
      <c r="G10" s="1"/>
      <c r="H10" s="1"/>
    </row>
    <row r="11" spans="2:8" ht="73.5" customHeight="1">
      <c r="B11" s="4">
        <v>3</v>
      </c>
      <c r="C11" s="14" t="s">
        <v>93</v>
      </c>
      <c r="D11" s="4" t="s">
        <v>126</v>
      </c>
      <c r="E11" s="4" t="s">
        <v>97</v>
      </c>
      <c r="F11" s="4" t="s">
        <v>100</v>
      </c>
      <c r="G11" s="1"/>
      <c r="H11" s="1"/>
    </row>
    <row r="12" spans="2:8">
      <c r="B12" s="1"/>
      <c r="C12" s="1"/>
      <c r="D12" s="1"/>
      <c r="E12" s="1"/>
      <c r="F12" s="1"/>
      <c r="G12" s="1"/>
      <c r="H12" s="1"/>
    </row>
    <row r="13" spans="2:8">
      <c r="B13" s="1"/>
      <c r="C13" s="1"/>
      <c r="D13" s="1"/>
      <c r="E13" s="1"/>
      <c r="F13" s="1"/>
      <c r="G13" s="1"/>
      <c r="H13" s="1"/>
    </row>
    <row r="14" spans="2:8" ht="37.5" customHeight="1">
      <c r="B14" s="52"/>
      <c r="C14" s="45"/>
      <c r="D14" s="45"/>
      <c r="E14" s="45"/>
      <c r="F14" s="45"/>
      <c r="G14" s="1"/>
      <c r="H14" s="1"/>
    </row>
    <row r="15" spans="2:8">
      <c r="B15" s="1"/>
      <c r="C15" s="1"/>
      <c r="D15" s="1"/>
      <c r="E15" s="1"/>
      <c r="F15" s="1"/>
      <c r="G15" s="1"/>
      <c r="H15" s="1"/>
    </row>
    <row r="16" spans="2:8" ht="39.75" customHeight="1">
      <c r="B16" s="52"/>
      <c r="C16" s="45"/>
      <c r="D16" s="45"/>
      <c r="E16" s="45"/>
      <c r="F16" s="45"/>
      <c r="G16" s="1"/>
      <c r="H16" s="1"/>
    </row>
    <row r="17" spans="2:8">
      <c r="B17" s="1"/>
      <c r="C17" s="1"/>
      <c r="D17" s="1"/>
      <c r="E17" s="1"/>
      <c r="F17" s="1"/>
      <c r="G17" s="1"/>
      <c r="H17" s="1"/>
    </row>
    <row r="18" spans="2:8">
      <c r="B18" s="1"/>
      <c r="C18" s="1"/>
      <c r="D18" s="1"/>
      <c r="E18" s="1"/>
      <c r="F18" s="1"/>
      <c r="G18" s="1"/>
      <c r="H18" s="1"/>
    </row>
    <row r="21" spans="2:8" ht="15.75" customHeight="1"/>
    <row r="22" spans="2:8" ht="15.75" customHeight="1"/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4:F14"/>
    <mergeCell ref="B16:F16"/>
    <mergeCell ref="B2:F2"/>
    <mergeCell ref="B4:C4"/>
    <mergeCell ref="D4:F4"/>
    <mergeCell ref="B5:C5"/>
    <mergeCell ref="D5:F5"/>
    <mergeCell ref="B6:C6"/>
    <mergeCell ref="D6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zoomScale="61" zoomScaleNormal="61" workbookViewId="0">
      <pane ySplit="1" topLeftCell="A2" activePane="bottomLeft" state="frozen"/>
      <selection pane="bottomLeft" activeCell="F2" sqref="F2"/>
    </sheetView>
  </sheetViews>
  <sheetFormatPr defaultColWidth="12.59765625" defaultRowHeight="13.8"/>
  <cols>
    <col min="1" max="1" width="18" customWidth="1"/>
    <col min="2" max="2" width="29" customWidth="1"/>
    <col min="3" max="3" width="33" customWidth="1"/>
    <col min="4" max="4" width="68" customWidth="1"/>
    <col min="5" max="5" width="27" customWidth="1"/>
    <col min="6" max="6" width="76" customWidth="1"/>
    <col min="7" max="26" width="8.59765625" customWidth="1"/>
  </cols>
  <sheetData>
    <row r="1" spans="1:8" ht="30" customHeight="1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1"/>
      <c r="H1" s="1"/>
    </row>
    <row r="2" spans="1:8" ht="73.5" customHeight="1">
      <c r="A2" s="14" t="s">
        <v>94</v>
      </c>
      <c r="B2" s="4" t="s">
        <v>91</v>
      </c>
      <c r="C2" s="4" t="s">
        <v>101</v>
      </c>
      <c r="D2" s="4" t="s">
        <v>102</v>
      </c>
      <c r="E2" s="4" t="s">
        <v>103</v>
      </c>
      <c r="F2" s="4" t="s">
        <v>636</v>
      </c>
      <c r="G2" s="1"/>
      <c r="H2" s="1"/>
    </row>
    <row r="3" spans="1:8" ht="138" customHeight="1">
      <c r="A3" s="4" t="s">
        <v>94</v>
      </c>
      <c r="B3" s="4" t="s">
        <v>91</v>
      </c>
      <c r="C3" s="4" t="s">
        <v>104</v>
      </c>
      <c r="D3" s="4" t="s">
        <v>105</v>
      </c>
      <c r="E3" s="4" t="s">
        <v>40</v>
      </c>
      <c r="F3" s="4" t="s">
        <v>637</v>
      </c>
      <c r="G3" s="1"/>
      <c r="H3" s="1"/>
    </row>
    <row r="4" spans="1:8" ht="73.5" customHeight="1">
      <c r="A4" s="4" t="s">
        <v>94</v>
      </c>
      <c r="B4" s="4" t="s">
        <v>91</v>
      </c>
      <c r="C4" s="4" t="s">
        <v>106</v>
      </c>
      <c r="D4" s="4" t="s">
        <v>107</v>
      </c>
      <c r="E4" s="4" t="s">
        <v>108</v>
      </c>
      <c r="F4" s="4" t="s">
        <v>638</v>
      </c>
      <c r="G4" s="1"/>
      <c r="H4" s="1"/>
    </row>
    <row r="5" spans="1:8" ht="78" customHeight="1">
      <c r="A5" s="4" t="s">
        <v>94</v>
      </c>
      <c r="B5" s="4" t="s">
        <v>91</v>
      </c>
      <c r="C5" s="4" t="s">
        <v>109</v>
      </c>
      <c r="D5" s="4" t="s">
        <v>110</v>
      </c>
      <c r="E5" s="4" t="s">
        <v>111</v>
      </c>
      <c r="F5" s="4" t="s">
        <v>639</v>
      </c>
      <c r="G5" s="1"/>
      <c r="H5" s="1"/>
    </row>
    <row r="6" spans="1:8" ht="102" customHeight="1">
      <c r="A6" s="4" t="s">
        <v>94</v>
      </c>
      <c r="B6" s="4" t="s">
        <v>91</v>
      </c>
      <c r="C6" s="4" t="s">
        <v>112</v>
      </c>
      <c r="D6" s="4" t="s">
        <v>113</v>
      </c>
      <c r="E6" s="4" t="s">
        <v>108</v>
      </c>
      <c r="F6" s="4" t="s">
        <v>640</v>
      </c>
      <c r="G6" s="1"/>
      <c r="H6" s="1"/>
    </row>
    <row r="7" spans="1:8" ht="78" customHeight="1">
      <c r="A7" s="14" t="s">
        <v>114</v>
      </c>
      <c r="B7" s="4" t="s">
        <v>92</v>
      </c>
      <c r="C7" s="4" t="s">
        <v>115</v>
      </c>
      <c r="D7" s="4" t="s">
        <v>116</v>
      </c>
      <c r="E7" s="4" t="s">
        <v>39</v>
      </c>
      <c r="F7" s="4" t="s">
        <v>641</v>
      </c>
      <c r="G7" s="1"/>
      <c r="H7" s="1"/>
    </row>
    <row r="8" spans="1:8" ht="102" customHeight="1">
      <c r="A8" s="4" t="s">
        <v>114</v>
      </c>
      <c r="B8" s="4" t="s">
        <v>92</v>
      </c>
      <c r="C8" s="4" t="s">
        <v>117</v>
      </c>
      <c r="D8" s="4" t="s">
        <v>118</v>
      </c>
      <c r="E8" s="4" t="s">
        <v>39</v>
      </c>
      <c r="F8" s="4" t="s">
        <v>642</v>
      </c>
      <c r="G8" s="1"/>
      <c r="H8" s="1"/>
    </row>
    <row r="9" spans="1:8" ht="102" customHeight="1">
      <c r="A9" s="4" t="s">
        <v>114</v>
      </c>
      <c r="B9" s="4" t="s">
        <v>92</v>
      </c>
      <c r="C9" s="4" t="s">
        <v>119</v>
      </c>
      <c r="D9" s="4" t="s">
        <v>120</v>
      </c>
      <c r="E9" s="4" t="s">
        <v>121</v>
      </c>
      <c r="F9" s="4" t="s">
        <v>643</v>
      </c>
      <c r="G9" s="1"/>
      <c r="H9" s="1"/>
    </row>
    <row r="10" spans="1:8" ht="78" customHeight="1">
      <c r="A10" s="4" t="s">
        <v>114</v>
      </c>
      <c r="B10" s="4" t="s">
        <v>92</v>
      </c>
      <c r="C10" s="4" t="s">
        <v>122</v>
      </c>
      <c r="D10" s="4" t="s">
        <v>123</v>
      </c>
      <c r="E10" s="4" t="s">
        <v>111</v>
      </c>
      <c r="F10" s="4" t="s">
        <v>644</v>
      </c>
      <c r="G10" s="1"/>
      <c r="H10" s="1"/>
    </row>
    <row r="11" spans="1:8" ht="90" customHeight="1">
      <c r="A11" s="4" t="s">
        <v>114</v>
      </c>
      <c r="B11" s="4" t="s">
        <v>92</v>
      </c>
      <c r="C11" s="4" t="s">
        <v>124</v>
      </c>
      <c r="D11" s="4" t="s">
        <v>125</v>
      </c>
      <c r="E11" s="4" t="s">
        <v>108</v>
      </c>
      <c r="F11" s="4" t="s">
        <v>645</v>
      </c>
      <c r="G11" s="1"/>
      <c r="H11" s="1"/>
    </row>
    <row r="12" spans="1:8" ht="73.5" customHeight="1">
      <c r="A12" s="14" t="s">
        <v>126</v>
      </c>
      <c r="B12" s="4" t="s">
        <v>93</v>
      </c>
      <c r="C12" s="4" t="s">
        <v>127</v>
      </c>
      <c r="D12" s="4" t="s">
        <v>128</v>
      </c>
      <c r="E12" s="4" t="s">
        <v>108</v>
      </c>
      <c r="F12" s="4" t="s">
        <v>646</v>
      </c>
      <c r="G12" s="1"/>
      <c r="H12" s="1"/>
    </row>
    <row r="13" spans="1:8" ht="102" customHeight="1">
      <c r="A13" s="4" t="s">
        <v>126</v>
      </c>
      <c r="B13" s="4" t="s">
        <v>93</v>
      </c>
      <c r="C13" s="4" t="s">
        <v>129</v>
      </c>
      <c r="D13" s="4" t="s">
        <v>130</v>
      </c>
      <c r="E13" s="4" t="s">
        <v>131</v>
      </c>
      <c r="F13" s="4" t="s">
        <v>647</v>
      </c>
      <c r="G13" s="1"/>
      <c r="H13" s="1"/>
    </row>
    <row r="14" spans="1:8" ht="73.5" customHeight="1">
      <c r="A14" s="4" t="s">
        <v>126</v>
      </c>
      <c r="B14" s="4" t="s">
        <v>93</v>
      </c>
      <c r="C14" s="4" t="s">
        <v>132</v>
      </c>
      <c r="D14" s="4" t="s">
        <v>133</v>
      </c>
      <c r="E14" s="4" t="s">
        <v>134</v>
      </c>
      <c r="F14" s="4" t="s">
        <v>648</v>
      </c>
      <c r="G14" s="1"/>
      <c r="H14" s="1"/>
    </row>
    <row r="15" spans="1:8" ht="90" customHeight="1">
      <c r="A15" s="4" t="s">
        <v>126</v>
      </c>
      <c r="B15" s="4" t="s">
        <v>93</v>
      </c>
      <c r="C15" s="4" t="s">
        <v>135</v>
      </c>
      <c r="D15" s="4" t="s">
        <v>136</v>
      </c>
      <c r="E15" s="4" t="s">
        <v>108</v>
      </c>
      <c r="F15" s="4" t="s">
        <v>649</v>
      </c>
      <c r="G15" s="1"/>
      <c r="H15" s="1"/>
    </row>
    <row r="16" spans="1:8" ht="138" customHeight="1">
      <c r="A16" s="4" t="s">
        <v>126</v>
      </c>
      <c r="B16" s="4" t="s">
        <v>93</v>
      </c>
      <c r="C16" s="4" t="s">
        <v>137</v>
      </c>
      <c r="D16" s="4" t="s">
        <v>138</v>
      </c>
      <c r="E16" s="4" t="s">
        <v>108</v>
      </c>
      <c r="F16" s="4" t="s">
        <v>650</v>
      </c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21" spans="1:8" ht="15.75" customHeight="1"/>
    <row r="22" spans="1:8" ht="15.75" customHeight="1"/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H1000"/>
  <sheetViews>
    <sheetView showGridLines="0" zoomScale="55" zoomScaleNormal="55" workbookViewId="0">
      <pane xSplit="1" ySplit="8" topLeftCell="B29" activePane="bottomRight" state="frozen"/>
      <selection pane="topRight"/>
      <selection pane="bottomLeft"/>
      <selection pane="bottomRight" activeCell="J9" sqref="J9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41</v>
      </c>
      <c r="B2" s="55" t="s">
        <v>94</v>
      </c>
      <c r="C2" s="54"/>
      <c r="D2" s="54"/>
      <c r="E2" s="54"/>
      <c r="F2" s="54"/>
      <c r="G2" s="54"/>
      <c r="H2" s="54"/>
    </row>
    <row r="3" spans="1:8">
      <c r="A3" s="3" t="s">
        <v>42</v>
      </c>
      <c r="B3" s="55" t="s">
        <v>91</v>
      </c>
      <c r="C3" s="54"/>
      <c r="D3" s="54"/>
      <c r="E3" s="54"/>
      <c r="F3" s="54"/>
      <c r="G3" s="54"/>
      <c r="H3" s="54"/>
    </row>
    <row r="4" spans="1:8">
      <c r="A4" s="3" t="s">
        <v>43</v>
      </c>
      <c r="B4" s="55" t="s">
        <v>139</v>
      </c>
      <c r="C4" s="54"/>
      <c r="D4" s="54"/>
      <c r="E4" s="54"/>
      <c r="F4" s="54"/>
      <c r="G4" s="54"/>
      <c r="H4" s="54"/>
    </row>
    <row r="5" spans="1:8" ht="24" customHeight="1">
      <c r="A5" s="7" t="s">
        <v>44</v>
      </c>
      <c r="B5" s="7" t="s">
        <v>45</v>
      </c>
      <c r="C5" s="7" t="s">
        <v>46</v>
      </c>
      <c r="D5" s="7" t="s">
        <v>47</v>
      </c>
      <c r="E5" s="7" t="s">
        <v>48</v>
      </c>
      <c r="F5" s="58" t="s">
        <v>49</v>
      </c>
      <c r="G5" s="47"/>
      <c r="H5" s="47"/>
    </row>
    <row r="6" spans="1:8" ht="24" customHeight="1">
      <c r="A6" s="8">
        <f>COUNTIF($F$9:$F$33,"Passed")</f>
        <v>23</v>
      </c>
      <c r="B6" s="8">
        <f>COUNTIF($F$9:$F$33,"Failed")</f>
        <v>2</v>
      </c>
      <c r="C6" s="8">
        <f>COUNTIF($F$9:$F$33,"Untested")</f>
        <v>0</v>
      </c>
      <c r="D6" s="8">
        <f>COUNTIF($F$9:$F$33,"Blocked")</f>
        <v>0</v>
      </c>
      <c r="E6" s="8">
        <f>COUNTIF($F$9:$F$33,"Skipped")</f>
        <v>0</v>
      </c>
      <c r="F6" s="59">
        <f>COUNTA(A9:A33)</f>
        <v>25</v>
      </c>
      <c r="G6" s="54"/>
      <c r="H6" s="54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50</v>
      </c>
      <c r="B8" s="6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9" t="s">
        <v>545</v>
      </c>
      <c r="B9" s="9" t="s">
        <v>140</v>
      </c>
      <c r="C9" s="31" t="s">
        <v>468</v>
      </c>
      <c r="D9" s="9" t="s">
        <v>141</v>
      </c>
      <c r="E9" s="9" t="s">
        <v>142</v>
      </c>
      <c r="F9" s="36" t="s">
        <v>44</v>
      </c>
      <c r="G9" s="35">
        <v>46318</v>
      </c>
      <c r="H9" s="34" t="s">
        <v>653</v>
      </c>
    </row>
    <row r="10" spans="1:8" ht="139.5" customHeight="1">
      <c r="A10" s="12" t="s">
        <v>546</v>
      </c>
      <c r="B10" s="12" t="s">
        <v>143</v>
      </c>
      <c r="C10" s="32" t="s">
        <v>469</v>
      </c>
      <c r="D10" s="12" t="s">
        <v>144</v>
      </c>
      <c r="E10" s="12" t="s">
        <v>142</v>
      </c>
      <c r="F10" s="36" t="s">
        <v>44</v>
      </c>
      <c r="G10" s="35">
        <v>46318</v>
      </c>
      <c r="H10" s="34" t="s">
        <v>654</v>
      </c>
    </row>
    <row r="11" spans="1:8" ht="139.5" customHeight="1">
      <c r="A11" s="9" t="s">
        <v>547</v>
      </c>
      <c r="B11" s="9" t="s">
        <v>145</v>
      </c>
      <c r="C11" s="9" t="s">
        <v>470</v>
      </c>
      <c r="D11" s="9" t="s">
        <v>146</v>
      </c>
      <c r="E11" s="9" t="s">
        <v>142</v>
      </c>
      <c r="F11" s="36" t="s">
        <v>44</v>
      </c>
      <c r="G11" s="35">
        <v>46318</v>
      </c>
      <c r="H11" s="34" t="s">
        <v>655</v>
      </c>
    </row>
    <row r="12" spans="1:8" ht="139.5" customHeight="1">
      <c r="A12" s="12" t="s">
        <v>548</v>
      </c>
      <c r="B12" s="12" t="s">
        <v>147</v>
      </c>
      <c r="C12" s="12" t="s">
        <v>471</v>
      </c>
      <c r="D12" s="12" t="s">
        <v>148</v>
      </c>
      <c r="E12" s="12" t="s">
        <v>142</v>
      </c>
      <c r="F12" s="36" t="s">
        <v>44</v>
      </c>
      <c r="G12" s="35">
        <v>46318</v>
      </c>
      <c r="H12" s="34" t="s">
        <v>656</v>
      </c>
    </row>
    <row r="13" spans="1:8" ht="139.5" customHeight="1">
      <c r="A13" s="9" t="s">
        <v>549</v>
      </c>
      <c r="B13" s="9" t="s">
        <v>149</v>
      </c>
      <c r="C13" s="9" t="s">
        <v>472</v>
      </c>
      <c r="D13" s="9" t="s">
        <v>150</v>
      </c>
      <c r="E13" s="9" t="s">
        <v>142</v>
      </c>
      <c r="F13" s="36" t="s">
        <v>44</v>
      </c>
      <c r="G13" s="35">
        <v>46318</v>
      </c>
      <c r="H13" s="34" t="s">
        <v>657</v>
      </c>
    </row>
    <row r="14" spans="1:8" ht="141.75" customHeight="1">
      <c r="A14" s="12" t="s">
        <v>550</v>
      </c>
      <c r="B14" s="12" t="s">
        <v>151</v>
      </c>
      <c r="C14" s="12" t="s">
        <v>473</v>
      </c>
      <c r="D14" s="12" t="s">
        <v>152</v>
      </c>
      <c r="E14" s="12" t="s">
        <v>142</v>
      </c>
      <c r="F14" s="36" t="s">
        <v>44</v>
      </c>
      <c r="G14" s="35">
        <v>46318</v>
      </c>
      <c r="H14" s="34" t="s">
        <v>658</v>
      </c>
    </row>
    <row r="15" spans="1:8" ht="141.75" customHeight="1">
      <c r="A15" s="9" t="s">
        <v>551</v>
      </c>
      <c r="B15" s="9" t="s">
        <v>153</v>
      </c>
      <c r="C15" s="9" t="s">
        <v>474</v>
      </c>
      <c r="D15" s="9" t="s">
        <v>154</v>
      </c>
      <c r="E15" s="9" t="s">
        <v>142</v>
      </c>
      <c r="F15" s="36" t="s">
        <v>44</v>
      </c>
      <c r="G15" s="35">
        <v>46318</v>
      </c>
      <c r="H15" s="34" t="s">
        <v>659</v>
      </c>
    </row>
    <row r="16" spans="1:8" ht="141.75" customHeight="1">
      <c r="A16" s="12" t="s">
        <v>552</v>
      </c>
      <c r="B16" s="12" t="s">
        <v>155</v>
      </c>
      <c r="C16" s="12" t="s">
        <v>475</v>
      </c>
      <c r="D16" s="12" t="s">
        <v>156</v>
      </c>
      <c r="E16" s="12" t="s">
        <v>142</v>
      </c>
      <c r="F16" s="36" t="s">
        <v>44</v>
      </c>
      <c r="G16" s="35">
        <v>46318</v>
      </c>
      <c r="H16" s="34" t="s">
        <v>660</v>
      </c>
    </row>
    <row r="17" spans="1:8" ht="141.75" customHeight="1">
      <c r="A17" s="9" t="s">
        <v>553</v>
      </c>
      <c r="B17" s="9" t="s">
        <v>157</v>
      </c>
      <c r="C17" s="9" t="s">
        <v>476</v>
      </c>
      <c r="D17" s="9" t="s">
        <v>158</v>
      </c>
      <c r="E17" s="9" t="s">
        <v>142</v>
      </c>
      <c r="F17" s="36" t="s">
        <v>44</v>
      </c>
      <c r="G17" s="35">
        <v>46318</v>
      </c>
      <c r="H17" s="34" t="s">
        <v>661</v>
      </c>
    </row>
    <row r="18" spans="1:8" ht="141.75" customHeight="1">
      <c r="A18" s="12" t="s">
        <v>554</v>
      </c>
      <c r="B18" s="12" t="s">
        <v>159</v>
      </c>
      <c r="C18" s="12" t="s">
        <v>477</v>
      </c>
      <c r="D18" s="12" t="s">
        <v>160</v>
      </c>
      <c r="E18" s="12" t="s">
        <v>142</v>
      </c>
      <c r="F18" s="36" t="s">
        <v>44</v>
      </c>
      <c r="G18" s="35">
        <v>46318</v>
      </c>
      <c r="H18" s="34" t="s">
        <v>662</v>
      </c>
    </row>
    <row r="19" spans="1:8" ht="141.75" customHeight="1">
      <c r="A19" s="9" t="s">
        <v>555</v>
      </c>
      <c r="B19" s="9" t="s">
        <v>161</v>
      </c>
      <c r="C19" s="9" t="s">
        <v>478</v>
      </c>
      <c r="D19" s="9" t="s">
        <v>162</v>
      </c>
      <c r="E19" s="9" t="s">
        <v>142</v>
      </c>
      <c r="F19" s="36" t="s">
        <v>44</v>
      </c>
      <c r="G19" s="35">
        <v>46318</v>
      </c>
      <c r="H19" s="34" t="s">
        <v>663</v>
      </c>
    </row>
    <row r="20" spans="1:8" ht="139.5" customHeight="1">
      <c r="A20" s="12" t="s">
        <v>556</v>
      </c>
      <c r="B20" s="12" t="s">
        <v>163</v>
      </c>
      <c r="C20" s="12" t="s">
        <v>479</v>
      </c>
      <c r="D20" s="12" t="s">
        <v>164</v>
      </c>
      <c r="E20" s="12" t="s">
        <v>142</v>
      </c>
      <c r="F20" s="36" t="s">
        <v>44</v>
      </c>
      <c r="G20" s="35">
        <v>46318</v>
      </c>
      <c r="H20" s="34" t="s">
        <v>664</v>
      </c>
    </row>
    <row r="21" spans="1:8" ht="139.5" customHeight="1">
      <c r="A21" s="9" t="s">
        <v>557</v>
      </c>
      <c r="B21" s="9" t="s">
        <v>165</v>
      </c>
      <c r="C21" s="9" t="s">
        <v>480</v>
      </c>
      <c r="D21" s="9" t="s">
        <v>166</v>
      </c>
      <c r="E21" s="9" t="s">
        <v>142</v>
      </c>
      <c r="F21" s="36" t="s">
        <v>44</v>
      </c>
      <c r="G21" s="35">
        <v>46318</v>
      </c>
      <c r="H21" s="34" t="s">
        <v>665</v>
      </c>
    </row>
    <row r="22" spans="1:8" ht="139.5" customHeight="1">
      <c r="A22" s="12" t="s">
        <v>558</v>
      </c>
      <c r="B22" s="12" t="s">
        <v>167</v>
      </c>
      <c r="C22" s="12" t="s">
        <v>481</v>
      </c>
      <c r="D22" s="12" t="s">
        <v>168</v>
      </c>
      <c r="E22" s="12" t="s">
        <v>142</v>
      </c>
      <c r="F22" s="36" t="s">
        <v>44</v>
      </c>
      <c r="G22" s="35">
        <v>46318</v>
      </c>
      <c r="H22" s="34" t="s">
        <v>666</v>
      </c>
    </row>
    <row r="23" spans="1:8" ht="139.5" customHeight="1">
      <c r="A23" s="9" t="s">
        <v>559</v>
      </c>
      <c r="B23" s="9" t="s">
        <v>169</v>
      </c>
      <c r="C23" s="9" t="s">
        <v>482</v>
      </c>
      <c r="D23" s="9" t="s">
        <v>170</v>
      </c>
      <c r="E23" s="9" t="s">
        <v>142</v>
      </c>
      <c r="F23" s="36" t="s">
        <v>44</v>
      </c>
      <c r="G23" s="35">
        <v>46318</v>
      </c>
      <c r="H23" s="34" t="s">
        <v>667</v>
      </c>
    </row>
    <row r="24" spans="1:8" ht="139.5" customHeight="1">
      <c r="A24" s="12" t="s">
        <v>560</v>
      </c>
      <c r="B24" s="12" t="s">
        <v>171</v>
      </c>
      <c r="C24" s="12" t="s">
        <v>483</v>
      </c>
      <c r="D24" s="12" t="s">
        <v>467</v>
      </c>
      <c r="E24" s="12" t="s">
        <v>142</v>
      </c>
      <c r="F24" s="36" t="s">
        <v>44</v>
      </c>
      <c r="G24" s="35">
        <v>46318</v>
      </c>
      <c r="H24" s="34" t="s">
        <v>668</v>
      </c>
    </row>
    <row r="25" spans="1:8" ht="139.5" customHeight="1">
      <c r="A25" s="9" t="s">
        <v>561</v>
      </c>
      <c r="B25" s="9" t="s">
        <v>172</v>
      </c>
      <c r="C25" s="9" t="s">
        <v>484</v>
      </c>
      <c r="D25" s="9" t="s">
        <v>173</v>
      </c>
      <c r="E25" s="9" t="s">
        <v>142</v>
      </c>
      <c r="F25" s="36" t="s">
        <v>44</v>
      </c>
      <c r="G25" s="35">
        <v>46318</v>
      </c>
      <c r="H25" s="34" t="s">
        <v>669</v>
      </c>
    </row>
    <row r="26" spans="1:8" ht="139.5" customHeight="1">
      <c r="A26" s="12" t="s">
        <v>562</v>
      </c>
      <c r="B26" s="12" t="s">
        <v>174</v>
      </c>
      <c r="C26" s="12" t="s">
        <v>485</v>
      </c>
      <c r="D26" s="12" t="s">
        <v>175</v>
      </c>
      <c r="E26" s="12" t="s">
        <v>142</v>
      </c>
      <c r="F26" s="36" t="s">
        <v>44</v>
      </c>
      <c r="G26" s="35">
        <v>46318</v>
      </c>
      <c r="H26" s="34" t="s">
        <v>670</v>
      </c>
    </row>
    <row r="27" spans="1:8" ht="139.5" customHeight="1">
      <c r="A27" s="9" t="s">
        <v>563</v>
      </c>
      <c r="B27" s="9" t="s">
        <v>176</v>
      </c>
      <c r="C27" s="9" t="s">
        <v>486</v>
      </c>
      <c r="D27" s="9" t="s">
        <v>177</v>
      </c>
      <c r="E27" s="9" t="s">
        <v>142</v>
      </c>
      <c r="F27" s="36" t="s">
        <v>44</v>
      </c>
      <c r="G27" s="35">
        <v>46318</v>
      </c>
      <c r="H27" s="34" t="s">
        <v>671</v>
      </c>
    </row>
    <row r="28" spans="1:8" ht="139.5" customHeight="1">
      <c r="A28" s="12" t="s">
        <v>564</v>
      </c>
      <c r="B28" s="12" t="s">
        <v>178</v>
      </c>
      <c r="C28" s="12" t="s">
        <v>487</v>
      </c>
      <c r="D28" s="12" t="s">
        <v>179</v>
      </c>
      <c r="E28" s="12" t="s">
        <v>142</v>
      </c>
      <c r="F28" s="36" t="s">
        <v>44</v>
      </c>
      <c r="G28" s="35">
        <v>46318</v>
      </c>
      <c r="H28" s="34" t="s">
        <v>672</v>
      </c>
    </row>
    <row r="29" spans="1:8" ht="139.5" customHeight="1">
      <c r="A29" s="9" t="s">
        <v>565</v>
      </c>
      <c r="B29" s="9" t="s">
        <v>180</v>
      </c>
      <c r="C29" s="9" t="s">
        <v>488</v>
      </c>
      <c r="D29" s="9" t="s">
        <v>181</v>
      </c>
      <c r="E29" s="9" t="s">
        <v>142</v>
      </c>
      <c r="F29" s="36" t="s">
        <v>44</v>
      </c>
      <c r="G29" s="35">
        <v>46318</v>
      </c>
      <c r="H29" s="34" t="s">
        <v>673</v>
      </c>
    </row>
    <row r="30" spans="1:8" ht="139.5" customHeight="1">
      <c r="A30" s="12" t="s">
        <v>566</v>
      </c>
      <c r="B30" s="12" t="s">
        <v>182</v>
      </c>
      <c r="C30" s="12" t="s">
        <v>489</v>
      </c>
      <c r="D30" s="12" t="s">
        <v>183</v>
      </c>
      <c r="E30" s="12" t="s">
        <v>142</v>
      </c>
      <c r="F30" s="36" t="s">
        <v>45</v>
      </c>
      <c r="G30" s="35">
        <v>46318</v>
      </c>
      <c r="H30" s="34" t="s">
        <v>674</v>
      </c>
    </row>
    <row r="31" spans="1:8" ht="139.5" customHeight="1">
      <c r="A31" s="9" t="s">
        <v>567</v>
      </c>
      <c r="B31" s="9" t="s">
        <v>184</v>
      </c>
      <c r="C31" s="31" t="s">
        <v>493</v>
      </c>
      <c r="D31" s="9" t="s">
        <v>185</v>
      </c>
      <c r="E31" s="9" t="s">
        <v>142</v>
      </c>
      <c r="F31" s="36" t="s">
        <v>45</v>
      </c>
      <c r="G31" s="35">
        <v>46318</v>
      </c>
      <c r="H31" s="34" t="s">
        <v>675</v>
      </c>
    </row>
    <row r="32" spans="1:8" ht="139.5" customHeight="1">
      <c r="A32" s="12" t="s">
        <v>568</v>
      </c>
      <c r="B32" s="12" t="s">
        <v>186</v>
      </c>
      <c r="C32" s="12" t="s">
        <v>490</v>
      </c>
      <c r="D32" s="12" t="s">
        <v>187</v>
      </c>
      <c r="E32" s="12" t="s">
        <v>142</v>
      </c>
      <c r="F32" s="36" t="s">
        <v>44</v>
      </c>
      <c r="G32" s="35">
        <v>46318</v>
      </c>
      <c r="H32" s="34" t="s">
        <v>676</v>
      </c>
    </row>
    <row r="33" spans="1:8" ht="141.75" customHeight="1">
      <c r="A33" s="9" t="s">
        <v>569</v>
      </c>
      <c r="B33" s="9" t="s">
        <v>188</v>
      </c>
      <c r="C33" s="9" t="s">
        <v>491</v>
      </c>
      <c r="D33" s="9" t="s">
        <v>189</v>
      </c>
      <c r="E33" s="9" t="s">
        <v>142</v>
      </c>
      <c r="F33" s="36" t="s">
        <v>44</v>
      </c>
      <c r="G33" s="35">
        <v>46318</v>
      </c>
      <c r="H33" s="34" t="s">
        <v>677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11" priority="1" operator="containsText" text="Passed">
      <formula>NOT(ISERROR(SEARCH(("Passed"),(F9))))</formula>
    </cfRule>
    <cfRule type="containsText" dxfId="10" priority="2" operator="containsText" text="Failed">
      <formula>NOT(ISERROR(SEARCH(("Failed"),(F9))))</formula>
    </cfRule>
    <cfRule type="containsText" dxfId="9" priority="3" operator="containsText" text="Blocked">
      <formula>NOT(ISERROR(SEARCH(("Blocked"),(F9))))</formula>
    </cfRule>
    <cfRule type="containsText" dxfId="8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300-000000000000}">
      <formula1>"Passed,Failed,Untested,Blocked,Skipped"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H1000"/>
  <sheetViews>
    <sheetView showGridLines="0" zoomScale="70" zoomScaleNormal="70" workbookViewId="0">
      <pane xSplit="1" ySplit="8" topLeftCell="B25" activePane="bottomRight" state="frozen"/>
      <selection pane="topRight"/>
      <selection pane="bottomLeft"/>
      <selection pane="bottomRight" activeCell="A9" sqref="A9:A33"/>
    </sheetView>
  </sheetViews>
  <sheetFormatPr defaultColWidth="12.59765625" defaultRowHeight="13.8"/>
  <cols>
    <col min="1" max="1" width="25" style="21" customWidth="1"/>
    <col min="2" max="2" width="36" style="21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22"/>
      <c r="B1" s="15"/>
      <c r="C1" s="1"/>
      <c r="D1" s="1"/>
      <c r="E1" s="1"/>
      <c r="F1" s="1"/>
      <c r="G1" s="1"/>
      <c r="H1" s="1"/>
    </row>
    <row r="2" spans="1:8">
      <c r="A2" s="23" t="s">
        <v>41</v>
      </c>
      <c r="B2" s="43" t="s">
        <v>114</v>
      </c>
      <c r="C2" s="54"/>
      <c r="D2" s="54"/>
      <c r="E2" s="54"/>
      <c r="F2" s="54"/>
      <c r="G2" s="54"/>
      <c r="H2" s="54"/>
    </row>
    <row r="3" spans="1:8">
      <c r="A3" s="23" t="s">
        <v>42</v>
      </c>
      <c r="B3" s="43" t="s">
        <v>92</v>
      </c>
      <c r="C3" s="54"/>
      <c r="D3" s="54"/>
      <c r="E3" s="54"/>
      <c r="F3" s="54"/>
      <c r="G3" s="54"/>
      <c r="H3" s="54"/>
    </row>
    <row r="4" spans="1:8">
      <c r="A4" s="23" t="s">
        <v>43</v>
      </c>
      <c r="B4" s="43" t="s">
        <v>139</v>
      </c>
      <c r="C4" s="54"/>
      <c r="D4" s="54"/>
      <c r="E4" s="54"/>
      <c r="F4" s="54"/>
      <c r="G4" s="54"/>
      <c r="H4" s="54"/>
    </row>
    <row r="5" spans="1:8" ht="24" customHeight="1">
      <c r="A5" s="24" t="s">
        <v>44</v>
      </c>
      <c r="B5" s="16" t="s">
        <v>45</v>
      </c>
      <c r="C5" s="7" t="s">
        <v>46</v>
      </c>
      <c r="D5" s="7" t="s">
        <v>47</v>
      </c>
      <c r="E5" s="7" t="s">
        <v>48</v>
      </c>
      <c r="F5" s="58" t="s">
        <v>49</v>
      </c>
      <c r="G5" s="47"/>
      <c r="H5" s="47"/>
    </row>
    <row r="6" spans="1:8" ht="24" customHeight="1">
      <c r="A6" s="25">
        <f>COUNTIF($F$9:$F$33,"Passed")</f>
        <v>0</v>
      </c>
      <c r="B6" s="17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59">
        <f>COUNTA(A9:A33)</f>
        <v>25</v>
      </c>
      <c r="G6" s="54"/>
      <c r="H6" s="54"/>
    </row>
    <row r="7" spans="1:8">
      <c r="A7" s="29"/>
      <c r="B7" s="15"/>
      <c r="C7" s="1"/>
      <c r="D7" s="1"/>
      <c r="E7" s="1"/>
      <c r="F7" s="1"/>
      <c r="G7" s="1"/>
      <c r="H7" s="1"/>
    </row>
    <row r="8" spans="1:8" ht="33.75" customHeight="1">
      <c r="A8" s="26" t="s">
        <v>50</v>
      </c>
      <c r="B8" s="18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27" t="s">
        <v>570</v>
      </c>
      <c r="B9" s="19" t="s">
        <v>190</v>
      </c>
      <c r="C9" s="9" t="s">
        <v>191</v>
      </c>
      <c r="D9" s="9" t="s">
        <v>192</v>
      </c>
      <c r="E9" s="9" t="s">
        <v>142</v>
      </c>
      <c r="F9" s="10" t="s">
        <v>46</v>
      </c>
      <c r="G9" s="11"/>
      <c r="H9" s="9" t="s">
        <v>193</v>
      </c>
    </row>
    <row r="10" spans="1:8" ht="139.5" customHeight="1">
      <c r="A10" s="28" t="s">
        <v>571</v>
      </c>
      <c r="B10" s="20" t="s">
        <v>194</v>
      </c>
      <c r="C10" s="12" t="s">
        <v>195</v>
      </c>
      <c r="D10" s="12" t="s">
        <v>196</v>
      </c>
      <c r="E10" s="12" t="s">
        <v>142</v>
      </c>
      <c r="F10" s="10" t="s">
        <v>46</v>
      </c>
      <c r="G10" s="11"/>
      <c r="H10" s="9" t="s">
        <v>193</v>
      </c>
    </row>
    <row r="11" spans="1:8" ht="139.5" customHeight="1">
      <c r="A11" s="27" t="s">
        <v>572</v>
      </c>
      <c r="B11" s="19" t="s">
        <v>57</v>
      </c>
      <c r="C11" s="9" t="s">
        <v>197</v>
      </c>
      <c r="D11" s="9" t="s">
        <v>198</v>
      </c>
      <c r="E11" s="9" t="s">
        <v>142</v>
      </c>
      <c r="F11" s="10" t="s">
        <v>46</v>
      </c>
      <c r="G11" s="11"/>
      <c r="H11" s="9" t="s">
        <v>199</v>
      </c>
    </row>
    <row r="12" spans="1:8" ht="139.5" customHeight="1">
      <c r="A12" s="28" t="s">
        <v>573</v>
      </c>
      <c r="B12" s="20" t="s">
        <v>58</v>
      </c>
      <c r="C12" s="12" t="s">
        <v>200</v>
      </c>
      <c r="D12" s="12" t="s">
        <v>201</v>
      </c>
      <c r="E12" s="12" t="s">
        <v>142</v>
      </c>
      <c r="F12" s="10" t="s">
        <v>46</v>
      </c>
      <c r="G12" s="11"/>
      <c r="H12" s="9" t="s">
        <v>199</v>
      </c>
    </row>
    <row r="13" spans="1:8" ht="139.5" customHeight="1">
      <c r="A13" s="27" t="s">
        <v>574</v>
      </c>
      <c r="B13" s="19" t="s">
        <v>202</v>
      </c>
      <c r="C13" s="9" t="s">
        <v>203</v>
      </c>
      <c r="D13" s="9" t="s">
        <v>204</v>
      </c>
      <c r="E13" s="9" t="s">
        <v>142</v>
      </c>
      <c r="F13" s="10" t="s">
        <v>46</v>
      </c>
      <c r="G13" s="11"/>
      <c r="H13" s="9" t="s">
        <v>199</v>
      </c>
    </row>
    <row r="14" spans="1:8" ht="139.5" customHeight="1">
      <c r="A14" s="28" t="s">
        <v>575</v>
      </c>
      <c r="B14" s="20" t="s">
        <v>205</v>
      </c>
      <c r="C14" s="12" t="s">
        <v>206</v>
      </c>
      <c r="D14" s="12" t="s">
        <v>207</v>
      </c>
      <c r="E14" s="12" t="s">
        <v>142</v>
      </c>
      <c r="F14" s="10" t="s">
        <v>46</v>
      </c>
      <c r="G14" s="11"/>
      <c r="H14" s="9" t="s">
        <v>208</v>
      </c>
    </row>
    <row r="15" spans="1:8" ht="139.5" customHeight="1">
      <c r="A15" s="27" t="s">
        <v>576</v>
      </c>
      <c r="B15" s="19" t="s">
        <v>209</v>
      </c>
      <c r="C15" s="9" t="s">
        <v>210</v>
      </c>
      <c r="D15" s="9" t="s">
        <v>211</v>
      </c>
      <c r="E15" s="9" t="s">
        <v>142</v>
      </c>
      <c r="F15" s="10" t="s">
        <v>46</v>
      </c>
      <c r="G15" s="11"/>
      <c r="H15" s="9" t="s">
        <v>212</v>
      </c>
    </row>
    <row r="16" spans="1:8" ht="139.5" customHeight="1">
      <c r="A16" s="28" t="s">
        <v>577</v>
      </c>
      <c r="B16" s="20" t="s">
        <v>213</v>
      </c>
      <c r="C16" s="12" t="s">
        <v>214</v>
      </c>
      <c r="D16" s="12" t="s">
        <v>215</v>
      </c>
      <c r="E16" s="12" t="s">
        <v>142</v>
      </c>
      <c r="F16" s="10" t="s">
        <v>46</v>
      </c>
      <c r="G16" s="11"/>
      <c r="H16" s="9" t="s">
        <v>216</v>
      </c>
    </row>
    <row r="17" spans="1:8" ht="139.5" customHeight="1">
      <c r="A17" s="27" t="s">
        <v>578</v>
      </c>
      <c r="B17" s="19" t="s">
        <v>217</v>
      </c>
      <c r="C17" s="9" t="s">
        <v>218</v>
      </c>
      <c r="D17" s="9" t="s">
        <v>219</v>
      </c>
      <c r="E17" s="9" t="s">
        <v>142</v>
      </c>
      <c r="F17" s="10" t="s">
        <v>46</v>
      </c>
      <c r="G17" s="11"/>
      <c r="H17" s="9" t="s">
        <v>220</v>
      </c>
    </row>
    <row r="18" spans="1:8" ht="139.5" customHeight="1">
      <c r="A18" s="28" t="s">
        <v>579</v>
      </c>
      <c r="B18" s="20" t="s">
        <v>221</v>
      </c>
      <c r="C18" s="12" t="s">
        <v>222</v>
      </c>
      <c r="D18" s="12" t="s">
        <v>219</v>
      </c>
      <c r="E18" s="12" t="s">
        <v>142</v>
      </c>
      <c r="F18" s="10" t="s">
        <v>46</v>
      </c>
      <c r="G18" s="11"/>
      <c r="H18" s="9" t="s">
        <v>220</v>
      </c>
    </row>
    <row r="19" spans="1:8" ht="139.5" customHeight="1">
      <c r="A19" s="27" t="s">
        <v>580</v>
      </c>
      <c r="B19" s="19" t="s">
        <v>223</v>
      </c>
      <c r="C19" s="9" t="s">
        <v>224</v>
      </c>
      <c r="D19" s="9" t="s">
        <v>225</v>
      </c>
      <c r="E19" s="9" t="s">
        <v>142</v>
      </c>
      <c r="F19" s="10" t="s">
        <v>46</v>
      </c>
      <c r="G19" s="11"/>
      <c r="H19" s="9" t="s">
        <v>226</v>
      </c>
    </row>
    <row r="20" spans="1:8" ht="139.5" customHeight="1">
      <c r="A20" s="28" t="s">
        <v>581</v>
      </c>
      <c r="B20" s="20" t="s">
        <v>227</v>
      </c>
      <c r="C20" s="12" t="s">
        <v>228</v>
      </c>
      <c r="D20" s="12" t="s">
        <v>229</v>
      </c>
      <c r="E20" s="12" t="s">
        <v>142</v>
      </c>
      <c r="F20" s="10" t="s">
        <v>46</v>
      </c>
      <c r="G20" s="11"/>
      <c r="H20" s="9" t="s">
        <v>216</v>
      </c>
    </row>
    <row r="21" spans="1:8" ht="139.5" customHeight="1">
      <c r="A21" s="27" t="s">
        <v>582</v>
      </c>
      <c r="B21" s="19" t="s">
        <v>230</v>
      </c>
      <c r="C21" s="9" t="s">
        <v>231</v>
      </c>
      <c r="D21" s="9" t="s">
        <v>232</v>
      </c>
      <c r="E21" s="9" t="s">
        <v>142</v>
      </c>
      <c r="F21" s="10" t="s">
        <v>46</v>
      </c>
      <c r="G21" s="11"/>
      <c r="H21" s="9" t="s">
        <v>233</v>
      </c>
    </row>
    <row r="22" spans="1:8" ht="139.5" customHeight="1">
      <c r="A22" s="28" t="s">
        <v>583</v>
      </c>
      <c r="B22" s="20" t="s">
        <v>234</v>
      </c>
      <c r="C22" s="12" t="s">
        <v>235</v>
      </c>
      <c r="D22" s="12" t="s">
        <v>236</v>
      </c>
      <c r="E22" s="12" t="s">
        <v>142</v>
      </c>
      <c r="F22" s="10" t="s">
        <v>46</v>
      </c>
      <c r="G22" s="11"/>
      <c r="H22" s="9" t="s">
        <v>233</v>
      </c>
    </row>
    <row r="23" spans="1:8" ht="139.5" customHeight="1">
      <c r="A23" s="27" t="s">
        <v>584</v>
      </c>
      <c r="B23" s="19" t="s">
        <v>237</v>
      </c>
      <c r="C23" s="9" t="s">
        <v>238</v>
      </c>
      <c r="D23" s="9" t="s">
        <v>239</v>
      </c>
      <c r="E23" s="9" t="s">
        <v>142</v>
      </c>
      <c r="F23" s="10" t="s">
        <v>46</v>
      </c>
      <c r="G23" s="11"/>
      <c r="H23" s="9" t="s">
        <v>240</v>
      </c>
    </row>
    <row r="24" spans="1:8" ht="139.5" customHeight="1">
      <c r="A24" s="28" t="s">
        <v>585</v>
      </c>
      <c r="B24" s="20" t="s">
        <v>241</v>
      </c>
      <c r="C24" s="12" t="s">
        <v>242</v>
      </c>
      <c r="D24" s="12" t="s">
        <v>243</v>
      </c>
      <c r="E24" s="12" t="s">
        <v>142</v>
      </c>
      <c r="F24" s="10" t="s">
        <v>46</v>
      </c>
      <c r="G24" s="11"/>
      <c r="H24" s="9" t="s">
        <v>244</v>
      </c>
    </row>
    <row r="25" spans="1:8" ht="139.5" customHeight="1">
      <c r="A25" s="27" t="s">
        <v>586</v>
      </c>
      <c r="B25" s="19" t="s">
        <v>245</v>
      </c>
      <c r="C25" s="9" t="s">
        <v>246</v>
      </c>
      <c r="D25" s="9" t="s">
        <v>247</v>
      </c>
      <c r="E25" s="9" t="s">
        <v>142</v>
      </c>
      <c r="F25" s="10" t="s">
        <v>46</v>
      </c>
      <c r="G25" s="11"/>
      <c r="H25" s="9" t="s">
        <v>248</v>
      </c>
    </row>
    <row r="26" spans="1:8" ht="139.5" customHeight="1">
      <c r="A26" s="28" t="s">
        <v>587</v>
      </c>
      <c r="B26" s="20" t="s">
        <v>249</v>
      </c>
      <c r="C26" s="12" t="s">
        <v>250</v>
      </c>
      <c r="D26" s="12" t="s">
        <v>251</v>
      </c>
      <c r="E26" s="12" t="s">
        <v>142</v>
      </c>
      <c r="F26" s="10" t="s">
        <v>46</v>
      </c>
      <c r="G26" s="11"/>
      <c r="H26" s="9" t="s">
        <v>252</v>
      </c>
    </row>
    <row r="27" spans="1:8" ht="139.5" customHeight="1">
      <c r="A27" s="27" t="s">
        <v>588</v>
      </c>
      <c r="B27" s="19" t="s">
        <v>253</v>
      </c>
      <c r="C27" s="9" t="s">
        <v>254</v>
      </c>
      <c r="D27" s="9" t="s">
        <v>255</v>
      </c>
      <c r="E27" s="9" t="s">
        <v>142</v>
      </c>
      <c r="F27" s="10" t="s">
        <v>46</v>
      </c>
      <c r="G27" s="11"/>
      <c r="H27" s="9" t="s">
        <v>252</v>
      </c>
    </row>
    <row r="28" spans="1:8" ht="139.5" customHeight="1">
      <c r="A28" s="28" t="s">
        <v>589</v>
      </c>
      <c r="B28" s="20" t="s">
        <v>256</v>
      </c>
      <c r="C28" s="12" t="s">
        <v>257</v>
      </c>
      <c r="D28" s="12" t="s">
        <v>258</v>
      </c>
      <c r="E28" s="12" t="s">
        <v>142</v>
      </c>
      <c r="F28" s="10" t="s">
        <v>46</v>
      </c>
      <c r="G28" s="11"/>
      <c r="H28" s="9" t="s">
        <v>252</v>
      </c>
    </row>
    <row r="29" spans="1:8" ht="139.5" customHeight="1">
      <c r="A29" s="27" t="s">
        <v>590</v>
      </c>
      <c r="B29" s="19" t="s">
        <v>259</v>
      </c>
      <c r="C29" s="9" t="s">
        <v>260</v>
      </c>
      <c r="D29" s="9" t="s">
        <v>261</v>
      </c>
      <c r="E29" s="9" t="s">
        <v>142</v>
      </c>
      <c r="F29" s="10" t="s">
        <v>46</v>
      </c>
      <c r="G29" s="11"/>
      <c r="H29" s="9" t="s">
        <v>262</v>
      </c>
    </row>
    <row r="30" spans="1:8" ht="139.5" customHeight="1">
      <c r="A30" s="28" t="s">
        <v>591</v>
      </c>
      <c r="B30" s="20" t="s">
        <v>263</v>
      </c>
      <c r="C30" s="12" t="s">
        <v>264</v>
      </c>
      <c r="D30" s="12" t="s">
        <v>265</v>
      </c>
      <c r="E30" s="12" t="s">
        <v>142</v>
      </c>
      <c r="F30" s="10" t="s">
        <v>46</v>
      </c>
      <c r="G30" s="11"/>
      <c r="H30" s="9" t="s">
        <v>266</v>
      </c>
    </row>
    <row r="31" spans="1:8" ht="156" customHeight="1">
      <c r="A31" s="27" t="s">
        <v>592</v>
      </c>
      <c r="B31" s="19" t="s">
        <v>267</v>
      </c>
      <c r="C31" s="9" t="s">
        <v>268</v>
      </c>
      <c r="D31" s="9" t="s">
        <v>269</v>
      </c>
      <c r="E31" s="9" t="s">
        <v>142</v>
      </c>
      <c r="F31" s="10" t="s">
        <v>46</v>
      </c>
      <c r="G31" s="11"/>
      <c r="H31" s="9" t="s">
        <v>270</v>
      </c>
    </row>
    <row r="32" spans="1:8" ht="156" customHeight="1">
      <c r="A32" s="28" t="s">
        <v>593</v>
      </c>
      <c r="B32" s="20" t="s">
        <v>271</v>
      </c>
      <c r="C32" s="12" t="s">
        <v>272</v>
      </c>
      <c r="D32" s="12" t="s">
        <v>273</v>
      </c>
      <c r="E32" s="12" t="s">
        <v>142</v>
      </c>
      <c r="F32" s="10" t="s">
        <v>46</v>
      </c>
      <c r="G32" s="11"/>
      <c r="H32" s="9" t="s">
        <v>274</v>
      </c>
    </row>
    <row r="33" spans="1:8" ht="139.5" customHeight="1">
      <c r="A33" s="27" t="s">
        <v>594</v>
      </c>
      <c r="B33" s="19" t="s">
        <v>275</v>
      </c>
      <c r="C33" s="9" t="s">
        <v>276</v>
      </c>
      <c r="D33" s="9" t="s">
        <v>277</v>
      </c>
      <c r="E33" s="9" t="s">
        <v>142</v>
      </c>
      <c r="F33" s="10" t="s">
        <v>46</v>
      </c>
      <c r="G33" s="11"/>
      <c r="H33" s="9" t="s">
        <v>270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7" priority="1" operator="containsText" text="Passed">
      <formula>NOT(ISERROR(SEARCH(("Passed"),(F9))))</formula>
    </cfRule>
    <cfRule type="containsText" dxfId="6" priority="2" operator="containsText" text="Failed">
      <formula>NOT(ISERROR(SEARCH(("Failed"),(F9))))</formula>
    </cfRule>
    <cfRule type="containsText" dxfId="5" priority="3" operator="containsText" text="Blocked">
      <formula>NOT(ISERROR(SEARCH(("Blocked"),(F9))))</formula>
    </cfRule>
    <cfRule type="containsText" dxfId="4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400-000000000000}">
      <formula1>"Passed,Failed,Untested,Blocked,Skipped"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H1000"/>
  <sheetViews>
    <sheetView showGridLines="0" zoomScale="70" zoomScaleNormal="70" workbookViewId="0">
      <pane xSplit="1" ySplit="8" topLeftCell="B9" activePane="bottomRight" state="frozen"/>
      <selection pane="topRight"/>
      <selection pane="bottomLeft"/>
      <selection pane="bottomRight" activeCell="D33" sqref="D33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41</v>
      </c>
      <c r="B2" s="55" t="s">
        <v>126</v>
      </c>
      <c r="C2" s="54"/>
      <c r="D2" s="54"/>
      <c r="E2" s="54"/>
      <c r="F2" s="54"/>
      <c r="G2" s="54"/>
      <c r="H2" s="54"/>
    </row>
    <row r="3" spans="1:8">
      <c r="A3" s="3" t="s">
        <v>42</v>
      </c>
      <c r="B3" s="55" t="s">
        <v>93</v>
      </c>
      <c r="C3" s="54"/>
      <c r="D3" s="54"/>
      <c r="E3" s="54"/>
      <c r="F3" s="54"/>
      <c r="G3" s="54"/>
      <c r="H3" s="54"/>
    </row>
    <row r="4" spans="1:8">
      <c r="A4" s="3" t="s">
        <v>43</v>
      </c>
      <c r="B4" s="43" t="s">
        <v>139</v>
      </c>
      <c r="C4" s="54"/>
      <c r="D4" s="54"/>
      <c r="E4" s="54"/>
      <c r="F4" s="54"/>
      <c r="G4" s="54"/>
      <c r="H4" s="54"/>
    </row>
    <row r="5" spans="1:8" ht="24" customHeight="1">
      <c r="A5" s="7" t="s">
        <v>44</v>
      </c>
      <c r="B5" s="7" t="s">
        <v>45</v>
      </c>
      <c r="C5" s="7" t="s">
        <v>46</v>
      </c>
      <c r="D5" s="7" t="s">
        <v>47</v>
      </c>
      <c r="E5" s="7" t="s">
        <v>48</v>
      </c>
      <c r="F5" s="58" t="s">
        <v>49</v>
      </c>
      <c r="G5" s="47"/>
      <c r="H5" s="47"/>
    </row>
    <row r="6" spans="1:8" ht="24" customHeight="1">
      <c r="A6" s="8">
        <f>COUNTIF($F$9:$F$33,"Passed")</f>
        <v>0</v>
      </c>
      <c r="B6" s="8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59">
        <f>COUNTA(A9:A33)</f>
        <v>25</v>
      </c>
      <c r="G6" s="54"/>
      <c r="H6" s="54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50</v>
      </c>
      <c r="B8" s="6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9" t="s">
        <v>595</v>
      </c>
      <c r="B9" s="9" t="s">
        <v>278</v>
      </c>
      <c r="C9" s="9" t="s">
        <v>279</v>
      </c>
      <c r="D9" s="9" t="s">
        <v>280</v>
      </c>
      <c r="E9" s="9" t="s">
        <v>281</v>
      </c>
      <c r="F9" s="10" t="s">
        <v>46</v>
      </c>
      <c r="G9" s="11"/>
      <c r="H9" s="9" t="s">
        <v>282</v>
      </c>
    </row>
    <row r="10" spans="1:8" ht="139.5" customHeight="1">
      <c r="A10" s="12" t="s">
        <v>596</v>
      </c>
      <c r="B10" s="12" t="s">
        <v>283</v>
      </c>
      <c r="C10" s="12" t="s">
        <v>284</v>
      </c>
      <c r="D10" s="12" t="s">
        <v>285</v>
      </c>
      <c r="E10" s="12" t="s">
        <v>281</v>
      </c>
      <c r="F10" s="10" t="s">
        <v>46</v>
      </c>
      <c r="G10" s="11"/>
      <c r="H10" s="9" t="s">
        <v>286</v>
      </c>
    </row>
    <row r="11" spans="1:8" ht="139.5" customHeight="1">
      <c r="A11" s="9" t="s">
        <v>597</v>
      </c>
      <c r="B11" s="9" t="s">
        <v>287</v>
      </c>
      <c r="C11" s="9" t="s">
        <v>288</v>
      </c>
      <c r="D11" s="9" t="s">
        <v>289</v>
      </c>
      <c r="E11" s="9" t="s">
        <v>281</v>
      </c>
      <c r="F11" s="10" t="s">
        <v>46</v>
      </c>
      <c r="G11" s="11"/>
      <c r="H11" s="9" t="s">
        <v>286</v>
      </c>
    </row>
    <row r="12" spans="1:8" ht="139.5" customHeight="1">
      <c r="A12" s="12" t="s">
        <v>598</v>
      </c>
      <c r="B12" s="12" t="s">
        <v>290</v>
      </c>
      <c r="C12" s="12" t="s">
        <v>291</v>
      </c>
      <c r="D12" s="12" t="s">
        <v>292</v>
      </c>
      <c r="E12" s="12" t="s">
        <v>281</v>
      </c>
      <c r="F12" s="10" t="s">
        <v>46</v>
      </c>
      <c r="G12" s="11"/>
      <c r="H12" s="9" t="s">
        <v>286</v>
      </c>
    </row>
    <row r="13" spans="1:8" ht="139.5" customHeight="1">
      <c r="A13" s="9" t="s">
        <v>599</v>
      </c>
      <c r="B13" s="9" t="s">
        <v>293</v>
      </c>
      <c r="C13" s="9" t="s">
        <v>294</v>
      </c>
      <c r="D13" s="9" t="s">
        <v>295</v>
      </c>
      <c r="E13" s="9" t="s">
        <v>281</v>
      </c>
      <c r="F13" s="10" t="s">
        <v>46</v>
      </c>
      <c r="G13" s="11"/>
      <c r="H13" s="9" t="s">
        <v>286</v>
      </c>
    </row>
    <row r="14" spans="1:8" ht="139.5" customHeight="1">
      <c r="A14" s="12" t="s">
        <v>600</v>
      </c>
      <c r="B14" s="12" t="s">
        <v>296</v>
      </c>
      <c r="C14" s="12" t="s">
        <v>297</v>
      </c>
      <c r="D14" s="12" t="s">
        <v>298</v>
      </c>
      <c r="E14" s="12" t="s">
        <v>281</v>
      </c>
      <c r="F14" s="10" t="s">
        <v>46</v>
      </c>
      <c r="G14" s="11"/>
      <c r="H14" s="9" t="s">
        <v>299</v>
      </c>
    </row>
    <row r="15" spans="1:8" ht="139.5" customHeight="1">
      <c r="A15" s="9" t="s">
        <v>601</v>
      </c>
      <c r="B15" s="9" t="s">
        <v>300</v>
      </c>
      <c r="C15" s="9" t="s">
        <v>301</v>
      </c>
      <c r="D15" s="9" t="s">
        <v>302</v>
      </c>
      <c r="E15" s="9" t="s">
        <v>281</v>
      </c>
      <c r="F15" s="10" t="s">
        <v>46</v>
      </c>
      <c r="G15" s="11"/>
      <c r="H15" s="9" t="s">
        <v>303</v>
      </c>
    </row>
    <row r="16" spans="1:8" ht="139.5" customHeight="1">
      <c r="A16" s="12" t="s">
        <v>602</v>
      </c>
      <c r="B16" s="12" t="s">
        <v>304</v>
      </c>
      <c r="C16" s="12" t="s">
        <v>305</v>
      </c>
      <c r="D16" s="12" t="s">
        <v>306</v>
      </c>
      <c r="E16" s="12" t="s">
        <v>281</v>
      </c>
      <c r="F16" s="10" t="s">
        <v>46</v>
      </c>
      <c r="G16" s="11"/>
      <c r="H16" s="9" t="s">
        <v>303</v>
      </c>
    </row>
    <row r="17" spans="1:8" ht="139.5" customHeight="1">
      <c r="A17" s="9" t="s">
        <v>603</v>
      </c>
      <c r="B17" s="9" t="s">
        <v>307</v>
      </c>
      <c r="C17" s="9" t="s">
        <v>308</v>
      </c>
      <c r="D17" s="9" t="s">
        <v>309</v>
      </c>
      <c r="E17" s="9" t="s">
        <v>281</v>
      </c>
      <c r="F17" s="10" t="s">
        <v>46</v>
      </c>
      <c r="G17" s="11"/>
      <c r="H17" s="9" t="s">
        <v>303</v>
      </c>
    </row>
    <row r="18" spans="1:8" ht="139.5" customHeight="1">
      <c r="A18" s="12" t="s">
        <v>604</v>
      </c>
      <c r="B18" s="12" t="s">
        <v>310</v>
      </c>
      <c r="C18" s="12" t="s">
        <v>311</v>
      </c>
      <c r="D18" s="12" t="s">
        <v>312</v>
      </c>
      <c r="E18" s="12" t="s">
        <v>281</v>
      </c>
      <c r="F18" s="10" t="s">
        <v>46</v>
      </c>
      <c r="G18" s="11"/>
      <c r="H18" s="9" t="s">
        <v>313</v>
      </c>
    </row>
    <row r="19" spans="1:8" ht="139.5" customHeight="1">
      <c r="A19" s="9" t="s">
        <v>605</v>
      </c>
      <c r="B19" s="9" t="s">
        <v>314</v>
      </c>
      <c r="C19" s="9" t="s">
        <v>315</v>
      </c>
      <c r="D19" s="9" t="s">
        <v>316</v>
      </c>
      <c r="E19" s="9" t="s">
        <v>281</v>
      </c>
      <c r="F19" s="10" t="s">
        <v>46</v>
      </c>
      <c r="G19" s="11"/>
      <c r="H19" s="9" t="s">
        <v>317</v>
      </c>
    </row>
    <row r="20" spans="1:8" ht="139.5" customHeight="1">
      <c r="A20" s="12" t="s">
        <v>606</v>
      </c>
      <c r="B20" s="12" t="s">
        <v>318</v>
      </c>
      <c r="C20" s="12" t="s">
        <v>319</v>
      </c>
      <c r="D20" s="12" t="s">
        <v>320</v>
      </c>
      <c r="E20" s="12" t="s">
        <v>281</v>
      </c>
      <c r="F20" s="10" t="s">
        <v>46</v>
      </c>
      <c r="G20" s="11"/>
      <c r="H20" s="9" t="s">
        <v>321</v>
      </c>
    </row>
    <row r="21" spans="1:8" ht="139.5" customHeight="1">
      <c r="A21" s="9" t="s">
        <v>607</v>
      </c>
      <c r="B21" s="9" t="s">
        <v>322</v>
      </c>
      <c r="C21" s="9" t="s">
        <v>323</v>
      </c>
      <c r="D21" s="9" t="s">
        <v>324</v>
      </c>
      <c r="E21" s="9" t="s">
        <v>281</v>
      </c>
      <c r="F21" s="10" t="s">
        <v>46</v>
      </c>
      <c r="G21" s="11"/>
      <c r="H21" s="9" t="s">
        <v>325</v>
      </c>
    </row>
    <row r="22" spans="1:8" ht="139.5" customHeight="1">
      <c r="A22" s="12" t="s">
        <v>608</v>
      </c>
      <c r="B22" s="12" t="s">
        <v>326</v>
      </c>
      <c r="C22" s="12" t="s">
        <v>327</v>
      </c>
      <c r="D22" s="12" t="s">
        <v>328</v>
      </c>
      <c r="E22" s="12" t="s">
        <v>281</v>
      </c>
      <c r="F22" s="10" t="s">
        <v>46</v>
      </c>
      <c r="G22" s="11"/>
      <c r="H22" s="9" t="s">
        <v>329</v>
      </c>
    </row>
    <row r="23" spans="1:8" ht="139.5" customHeight="1">
      <c r="A23" s="9" t="s">
        <v>609</v>
      </c>
      <c r="B23" s="9" t="s">
        <v>330</v>
      </c>
      <c r="C23" s="9" t="s">
        <v>331</v>
      </c>
      <c r="D23" s="9" t="s">
        <v>332</v>
      </c>
      <c r="E23" s="9" t="s">
        <v>281</v>
      </c>
      <c r="F23" s="10" t="s">
        <v>46</v>
      </c>
      <c r="G23" s="11"/>
      <c r="H23" s="9" t="s">
        <v>333</v>
      </c>
    </row>
    <row r="24" spans="1:8" ht="139.5" customHeight="1">
      <c r="A24" s="12" t="s">
        <v>610</v>
      </c>
      <c r="B24" s="12" t="s">
        <v>334</v>
      </c>
      <c r="C24" s="12" t="s">
        <v>335</v>
      </c>
      <c r="D24" s="12" t="s">
        <v>336</v>
      </c>
      <c r="E24" s="12" t="s">
        <v>281</v>
      </c>
      <c r="F24" s="10" t="s">
        <v>46</v>
      </c>
      <c r="G24" s="11"/>
      <c r="H24" s="9" t="s">
        <v>337</v>
      </c>
    </row>
    <row r="25" spans="1:8" ht="139.5" customHeight="1">
      <c r="A25" s="9" t="s">
        <v>611</v>
      </c>
      <c r="B25" s="9" t="s">
        <v>338</v>
      </c>
      <c r="C25" s="9" t="s">
        <v>339</v>
      </c>
      <c r="D25" s="9" t="s">
        <v>340</v>
      </c>
      <c r="E25" s="9" t="s">
        <v>281</v>
      </c>
      <c r="F25" s="10" t="s">
        <v>46</v>
      </c>
      <c r="G25" s="11"/>
      <c r="H25" s="9" t="s">
        <v>337</v>
      </c>
    </row>
    <row r="26" spans="1:8" ht="141.75" customHeight="1">
      <c r="A26" s="12" t="s">
        <v>612</v>
      </c>
      <c r="B26" s="12" t="s">
        <v>341</v>
      </c>
      <c r="C26" s="12" t="s">
        <v>342</v>
      </c>
      <c r="D26" s="12" t="s">
        <v>343</v>
      </c>
      <c r="E26" s="12" t="s">
        <v>281</v>
      </c>
      <c r="F26" s="10" t="s">
        <v>46</v>
      </c>
      <c r="G26" s="11"/>
      <c r="H26" s="9" t="s">
        <v>337</v>
      </c>
    </row>
    <row r="27" spans="1:8" ht="141.75" customHeight="1">
      <c r="A27" s="9" t="s">
        <v>613</v>
      </c>
      <c r="B27" s="9" t="s">
        <v>344</v>
      </c>
      <c r="C27" s="9" t="s">
        <v>345</v>
      </c>
      <c r="D27" s="9" t="s">
        <v>346</v>
      </c>
      <c r="E27" s="9" t="s">
        <v>281</v>
      </c>
      <c r="F27" s="10" t="s">
        <v>46</v>
      </c>
      <c r="G27" s="11"/>
      <c r="H27" s="9" t="s">
        <v>347</v>
      </c>
    </row>
    <row r="28" spans="1:8" ht="139.5" customHeight="1">
      <c r="A28" s="12" t="s">
        <v>614</v>
      </c>
      <c r="B28" s="12" t="s">
        <v>348</v>
      </c>
      <c r="C28" s="12" t="s">
        <v>349</v>
      </c>
      <c r="D28" s="12" t="s">
        <v>350</v>
      </c>
      <c r="E28" s="12" t="s">
        <v>281</v>
      </c>
      <c r="F28" s="10" t="s">
        <v>46</v>
      </c>
      <c r="G28" s="11"/>
      <c r="H28" s="9" t="s">
        <v>337</v>
      </c>
    </row>
    <row r="29" spans="1:8" ht="139.5" customHeight="1">
      <c r="A29" s="9" t="s">
        <v>615</v>
      </c>
      <c r="B29" s="9" t="s">
        <v>351</v>
      </c>
      <c r="C29" s="9" t="s">
        <v>352</v>
      </c>
      <c r="D29" s="9" t="s">
        <v>353</v>
      </c>
      <c r="E29" s="9" t="s">
        <v>281</v>
      </c>
      <c r="F29" s="10" t="s">
        <v>46</v>
      </c>
      <c r="G29" s="11"/>
      <c r="H29" s="9" t="s">
        <v>354</v>
      </c>
    </row>
    <row r="30" spans="1:8" ht="139.5" customHeight="1">
      <c r="A30" s="12" t="s">
        <v>616</v>
      </c>
      <c r="B30" s="12" t="s">
        <v>355</v>
      </c>
      <c r="C30" s="12" t="s">
        <v>356</v>
      </c>
      <c r="D30" s="12" t="s">
        <v>357</v>
      </c>
      <c r="E30" s="12" t="s">
        <v>281</v>
      </c>
      <c r="F30" s="10" t="s">
        <v>46</v>
      </c>
      <c r="G30" s="11"/>
      <c r="H30" s="9" t="s">
        <v>354</v>
      </c>
    </row>
    <row r="31" spans="1:8" ht="139.5" customHeight="1">
      <c r="A31" s="9" t="s">
        <v>617</v>
      </c>
      <c r="B31" s="9" t="s">
        <v>358</v>
      </c>
      <c r="C31" s="9" t="s">
        <v>359</v>
      </c>
      <c r="D31" s="9" t="s">
        <v>360</v>
      </c>
      <c r="E31" s="9" t="s">
        <v>281</v>
      </c>
      <c r="F31" s="10" t="s">
        <v>46</v>
      </c>
      <c r="G31" s="11"/>
      <c r="H31" s="9" t="s">
        <v>354</v>
      </c>
    </row>
    <row r="32" spans="1:8" ht="139.5" customHeight="1">
      <c r="A32" s="12" t="s">
        <v>618</v>
      </c>
      <c r="B32" s="12" t="s">
        <v>361</v>
      </c>
      <c r="C32" s="12" t="s">
        <v>362</v>
      </c>
      <c r="D32" s="12" t="s">
        <v>363</v>
      </c>
      <c r="E32" s="12" t="s">
        <v>281</v>
      </c>
      <c r="F32" s="10" t="s">
        <v>46</v>
      </c>
      <c r="G32" s="11"/>
      <c r="H32" s="9" t="s">
        <v>354</v>
      </c>
    </row>
    <row r="33" spans="1:8" ht="139.5" customHeight="1">
      <c r="A33" s="9" t="s">
        <v>619</v>
      </c>
      <c r="B33" s="9" t="s">
        <v>364</v>
      </c>
      <c r="C33" s="9" t="s">
        <v>365</v>
      </c>
      <c r="D33" s="9" t="s">
        <v>366</v>
      </c>
      <c r="E33" s="9" t="s">
        <v>281</v>
      </c>
      <c r="F33" s="10" t="s">
        <v>46</v>
      </c>
      <c r="G33" s="11"/>
      <c r="H33" s="9" t="s">
        <v>354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3" priority="1" operator="containsText" text="Passed">
      <formula>NOT(ISERROR(SEARCH(("Passed"),(F9))))</formula>
    </cfRule>
    <cfRule type="containsText" dxfId="2" priority="2" operator="containsText" text="Failed">
      <formula>NOT(ISERROR(SEARCH(("Failed"),(F9))))</formula>
    </cfRule>
    <cfRule type="containsText" dxfId="1" priority="3" operator="containsText" text="Blocked">
      <formula>NOT(ISERROR(SEARCH(("Blocked"),(F9))))</formula>
    </cfRule>
    <cfRule type="containsText" dxfId="0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500-000000000000}">
      <formula1>"Passed,Failed,Untested,Blocked,Skipped"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65"/>
  <sheetViews>
    <sheetView showGridLines="0" zoomScale="60" zoomScaleNormal="60" workbookViewId="0">
      <pane ySplit="4" topLeftCell="A15" activePane="bottomLeft" state="frozen"/>
      <selection pane="bottomLeft" activeCell="D17" sqref="D17"/>
    </sheetView>
  </sheetViews>
  <sheetFormatPr defaultColWidth="12.59765625" defaultRowHeight="13.8"/>
  <cols>
    <col min="1" max="1" width="26" customWidth="1"/>
    <col min="2" max="2" width="52" customWidth="1"/>
    <col min="3" max="3" width="62" customWidth="1"/>
    <col min="4" max="4" width="61" customWidth="1"/>
    <col min="5" max="5" width="48" customWidth="1"/>
    <col min="6" max="6" width="36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53" t="s">
        <v>367</v>
      </c>
      <c r="B2" s="45"/>
      <c r="C2" s="45"/>
      <c r="D2" s="45"/>
      <c r="E2" s="45"/>
      <c r="F2" s="45"/>
    </row>
    <row r="3" spans="1:6">
      <c r="A3" s="1"/>
      <c r="B3" s="1"/>
      <c r="C3" s="1"/>
      <c r="D3" s="1"/>
      <c r="E3" s="1"/>
      <c r="F3" s="1"/>
    </row>
    <row r="4" spans="1:6" ht="31.5" customHeight="1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</row>
    <row r="5" spans="1:6" ht="99.6" customHeight="1">
      <c r="A5" s="4" t="s">
        <v>368</v>
      </c>
      <c r="B5" s="14" t="s">
        <v>492</v>
      </c>
      <c r="C5" s="4" t="s">
        <v>494</v>
      </c>
      <c r="D5" s="4" t="s">
        <v>65</v>
      </c>
      <c r="E5" s="4" t="s">
        <v>369</v>
      </c>
      <c r="F5" s="4" t="s">
        <v>495</v>
      </c>
    </row>
    <row r="6" spans="1:6" ht="109.5" customHeight="1">
      <c r="A6" s="4" t="s">
        <v>66</v>
      </c>
      <c r="B6" s="4" t="s">
        <v>370</v>
      </c>
      <c r="C6" s="4" t="s">
        <v>371</v>
      </c>
      <c r="D6" s="4" t="s">
        <v>372</v>
      </c>
      <c r="E6" s="4" t="s">
        <v>373</v>
      </c>
      <c r="F6" s="4" t="s">
        <v>374</v>
      </c>
    </row>
    <row r="7" spans="1:6" ht="109.5" customHeight="1">
      <c r="A7" s="4" t="s">
        <v>375</v>
      </c>
      <c r="B7" s="4" t="s">
        <v>376</v>
      </c>
      <c r="C7" s="4" t="s">
        <v>377</v>
      </c>
      <c r="D7" s="4" t="s">
        <v>378</v>
      </c>
      <c r="E7" s="4" t="s">
        <v>379</v>
      </c>
      <c r="F7" s="4" t="s">
        <v>380</v>
      </c>
    </row>
    <row r="8" spans="1:6" ht="109.5" customHeight="1">
      <c r="A8" s="4" t="s">
        <v>381</v>
      </c>
      <c r="B8" s="4" t="s">
        <v>382</v>
      </c>
      <c r="C8" s="4" t="s">
        <v>383</v>
      </c>
      <c r="D8" s="4" t="s">
        <v>621</v>
      </c>
      <c r="E8" s="4" t="s">
        <v>384</v>
      </c>
      <c r="F8" s="4" t="s">
        <v>385</v>
      </c>
    </row>
    <row r="9" spans="1:6" ht="109.5" customHeight="1">
      <c r="A9" s="4" t="s">
        <v>386</v>
      </c>
      <c r="B9" s="4" t="s">
        <v>387</v>
      </c>
      <c r="C9" s="4" t="s">
        <v>388</v>
      </c>
      <c r="D9" s="4" t="s">
        <v>622</v>
      </c>
      <c r="E9" s="4" t="s">
        <v>389</v>
      </c>
      <c r="F9" s="4" t="s">
        <v>390</v>
      </c>
    </row>
    <row r="10" spans="1:6" ht="109.5" customHeight="1">
      <c r="A10" s="4" t="s">
        <v>391</v>
      </c>
      <c r="B10" s="4" t="s">
        <v>392</v>
      </c>
      <c r="C10" s="4" t="s">
        <v>393</v>
      </c>
      <c r="D10" s="4" t="s">
        <v>623</v>
      </c>
      <c r="E10" s="4" t="s">
        <v>389</v>
      </c>
      <c r="F10" s="4" t="s">
        <v>394</v>
      </c>
    </row>
    <row r="11" spans="1:6" ht="109.5" customHeight="1">
      <c r="A11" s="4" t="s">
        <v>395</v>
      </c>
      <c r="B11" s="4" t="s">
        <v>396</v>
      </c>
      <c r="C11" s="4" t="s">
        <v>397</v>
      </c>
      <c r="D11" s="4" t="s">
        <v>624</v>
      </c>
      <c r="E11" s="4" t="s">
        <v>398</v>
      </c>
      <c r="F11" s="4" t="s">
        <v>399</v>
      </c>
    </row>
    <row r="12" spans="1:6" ht="109.5" customHeight="1">
      <c r="A12" s="4" t="s">
        <v>400</v>
      </c>
      <c r="B12" s="4" t="s">
        <v>401</v>
      </c>
      <c r="C12" s="4" t="s">
        <v>402</v>
      </c>
      <c r="D12" s="4" t="s">
        <v>625</v>
      </c>
      <c r="E12" s="4" t="s">
        <v>403</v>
      </c>
      <c r="F12" s="4" t="s">
        <v>404</v>
      </c>
    </row>
    <row r="13" spans="1:6" ht="114.6" customHeight="1">
      <c r="A13" s="4" t="s">
        <v>405</v>
      </c>
      <c r="B13" s="4" t="s">
        <v>406</v>
      </c>
      <c r="C13" s="4" t="s">
        <v>407</v>
      </c>
      <c r="D13" s="4" t="s">
        <v>626</v>
      </c>
      <c r="E13" s="4" t="s">
        <v>408</v>
      </c>
      <c r="F13" s="4" t="s">
        <v>409</v>
      </c>
    </row>
    <row r="14" spans="1:6" ht="109.5" customHeight="1">
      <c r="A14" s="4" t="s">
        <v>410</v>
      </c>
      <c r="B14" s="4" t="s">
        <v>411</v>
      </c>
      <c r="C14" s="4" t="s">
        <v>412</v>
      </c>
      <c r="D14" s="4" t="s">
        <v>627</v>
      </c>
      <c r="E14" s="4" t="s">
        <v>413</v>
      </c>
      <c r="F14" s="4" t="s">
        <v>414</v>
      </c>
    </row>
    <row r="15" spans="1:6" ht="109.5" customHeight="1">
      <c r="A15" s="4" t="s">
        <v>415</v>
      </c>
      <c r="B15" s="4" t="s">
        <v>416</v>
      </c>
      <c r="C15" s="4" t="s">
        <v>417</v>
      </c>
      <c r="D15" s="4" t="s">
        <v>628</v>
      </c>
      <c r="E15" s="4" t="s">
        <v>418</v>
      </c>
      <c r="F15" s="4" t="s">
        <v>419</v>
      </c>
    </row>
    <row r="16" spans="1:6" ht="109.5" customHeight="1">
      <c r="A16" s="4" t="s">
        <v>420</v>
      </c>
      <c r="B16" s="4" t="s">
        <v>421</v>
      </c>
      <c r="C16" s="4" t="s">
        <v>422</v>
      </c>
      <c r="D16" s="4" t="s">
        <v>619</v>
      </c>
      <c r="E16" s="4" t="s">
        <v>423</v>
      </c>
      <c r="F16" s="4" t="s">
        <v>424</v>
      </c>
    </row>
    <row r="17" spans="1:6" ht="109.5" customHeight="1">
      <c r="A17" s="4" t="s">
        <v>425</v>
      </c>
      <c r="B17" s="4" t="s">
        <v>426</v>
      </c>
      <c r="C17" s="4" t="s">
        <v>427</v>
      </c>
      <c r="D17" s="4" t="s">
        <v>629</v>
      </c>
      <c r="E17" s="4" t="s">
        <v>428</v>
      </c>
      <c r="F17" s="4" t="s">
        <v>429</v>
      </c>
    </row>
    <row r="18" spans="1:6" ht="115.2" customHeight="1">
      <c r="A18" s="4" t="s">
        <v>430</v>
      </c>
      <c r="B18" s="4" t="s">
        <v>496</v>
      </c>
      <c r="C18" s="4" t="s">
        <v>431</v>
      </c>
      <c r="D18" s="4" t="s">
        <v>630</v>
      </c>
      <c r="E18" s="4" t="s">
        <v>432</v>
      </c>
      <c r="F18" s="4" t="s">
        <v>433</v>
      </c>
    </row>
    <row r="19" spans="1:6" ht="109.5" customHeight="1">
      <c r="A19" s="4" t="s">
        <v>434</v>
      </c>
      <c r="B19" s="4" t="s">
        <v>435</v>
      </c>
      <c r="C19" s="4" t="s">
        <v>436</v>
      </c>
      <c r="D19" s="4" t="s">
        <v>630</v>
      </c>
      <c r="E19" s="4" t="s">
        <v>437</v>
      </c>
      <c r="F19" s="4" t="s">
        <v>438</v>
      </c>
    </row>
    <row r="20" spans="1:6" ht="109.5" customHeight="1">
      <c r="A20" s="4" t="s">
        <v>439</v>
      </c>
      <c r="B20" s="4" t="s">
        <v>440</v>
      </c>
      <c r="C20" s="4" t="s">
        <v>441</v>
      </c>
      <c r="D20" s="4" t="s">
        <v>631</v>
      </c>
      <c r="E20" s="4" t="s">
        <v>442</v>
      </c>
      <c r="F20" s="4" t="s">
        <v>443</v>
      </c>
    </row>
    <row r="21" spans="1:6" ht="109.5" customHeight="1">
      <c r="A21" s="4" t="s">
        <v>444</v>
      </c>
      <c r="B21" s="4" t="s">
        <v>445</v>
      </c>
      <c r="C21" s="4" t="s">
        <v>446</v>
      </c>
      <c r="D21" s="4" t="s">
        <v>447</v>
      </c>
      <c r="E21" s="4" t="s">
        <v>448</v>
      </c>
      <c r="F21" s="4" t="s">
        <v>449</v>
      </c>
    </row>
    <row r="22" spans="1:6" ht="15.75" customHeight="1">
      <c r="A22" s="1"/>
      <c r="B22" s="1"/>
      <c r="C22" s="1"/>
      <c r="D22" s="1"/>
      <c r="E22" s="1"/>
      <c r="F22" s="1"/>
    </row>
    <row r="23" spans="1:6" ht="15.75" customHeight="1">
      <c r="A23" s="6" t="s">
        <v>67</v>
      </c>
      <c r="B23" s="6" t="s">
        <v>68</v>
      </c>
      <c r="C23" s="6" t="s">
        <v>69</v>
      </c>
      <c r="D23" s="1"/>
      <c r="E23" s="1"/>
      <c r="F23" s="1"/>
    </row>
    <row r="24" spans="1:6" ht="69.75" customHeight="1">
      <c r="A24" s="4" t="s">
        <v>450</v>
      </c>
      <c r="B24" s="30" t="s">
        <v>23</v>
      </c>
      <c r="C24" s="14" t="s">
        <v>460</v>
      </c>
      <c r="D24" s="1"/>
      <c r="E24" s="1"/>
      <c r="F24" s="1"/>
    </row>
    <row r="25" spans="1:6" ht="69.75" customHeight="1">
      <c r="A25" s="4" t="s">
        <v>451</v>
      </c>
      <c r="B25" s="30" t="s">
        <v>452</v>
      </c>
      <c r="C25" s="14" t="s">
        <v>461</v>
      </c>
      <c r="D25" s="1"/>
      <c r="E25" s="1"/>
      <c r="F25" s="1"/>
    </row>
    <row r="26" spans="1:6" ht="69.75" customHeight="1">
      <c r="A26" s="4" t="s">
        <v>453</v>
      </c>
      <c r="B26" s="30" t="s">
        <v>454</v>
      </c>
      <c r="C26" s="14" t="s">
        <v>462</v>
      </c>
      <c r="D26" s="1"/>
      <c r="E26" s="1"/>
      <c r="F26" s="1"/>
    </row>
    <row r="27" spans="1:6" ht="69.75" customHeight="1">
      <c r="A27" s="4" t="s">
        <v>455</v>
      </c>
      <c r="B27" s="30" t="s">
        <v>456</v>
      </c>
      <c r="C27" s="14" t="s">
        <v>463</v>
      </c>
      <c r="D27" s="1"/>
      <c r="E27" s="1"/>
      <c r="F27" s="1"/>
    </row>
    <row r="28" spans="1:6" ht="69.75" customHeight="1">
      <c r="A28" s="4" t="s">
        <v>457</v>
      </c>
      <c r="B28" s="30" t="s">
        <v>458</v>
      </c>
      <c r="C28" s="14" t="s">
        <v>464</v>
      </c>
      <c r="D28" s="1"/>
      <c r="E28" s="1"/>
      <c r="F28" s="1"/>
    </row>
    <row r="29" spans="1:6" ht="69.75" customHeight="1">
      <c r="A29" s="14" t="s">
        <v>465</v>
      </c>
      <c r="B29" s="30" t="s">
        <v>459</v>
      </c>
      <c r="C29" s="14" t="s">
        <v>466</v>
      </c>
      <c r="D29" s="1"/>
      <c r="E29" s="1"/>
      <c r="F29" s="1"/>
    </row>
    <row r="30" spans="1:6" ht="15.75" customHeight="1">
      <c r="A30" s="1"/>
      <c r="B30" s="1"/>
      <c r="C30" s="1"/>
      <c r="D30" s="1"/>
      <c r="E30" s="1"/>
      <c r="F30" s="1"/>
    </row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</sheetData>
  <mergeCells count="1">
    <mergeCell ref="A2:F2"/>
  </mergeCells>
  <hyperlinks>
    <hyperlink ref="B24" r:id="rId1" xr:uid="{62A703F4-3291-4E0C-BB26-4E4DBDF2E630}"/>
    <hyperlink ref="B25" r:id="rId2" xr:uid="{D32ED5B7-2F03-4537-A140-9FA396F10291}"/>
    <hyperlink ref="B26" r:id="rId3" xr:uid="{D765EC36-3AD7-432C-9B2B-1C1B3CFD57FA}"/>
    <hyperlink ref="B27" r:id="rId4" xr:uid="{5FFA2BF2-A8E1-4E10-9DB8-297348357F65}"/>
    <hyperlink ref="B28" r:id="rId5" xr:uid="{01E73FCB-1560-46C4-8E74-2B48F513FFC9}"/>
    <hyperlink ref="B29" r:id="rId6" xr:uid="{DC2F7294-D76F-49A3-A21F-6E73DCA252D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zoomScale="70" zoomScaleNormal="70" workbookViewId="0">
      <pane ySplit="4" topLeftCell="A9" activePane="bottomLeft" state="frozen"/>
      <selection pane="bottomLeft" activeCell="F11" sqref="F11"/>
    </sheetView>
  </sheetViews>
  <sheetFormatPr defaultColWidth="12.59765625" defaultRowHeight="13.8"/>
  <cols>
    <col min="1" max="1" width="9" customWidth="1"/>
    <col min="2" max="2" width="28" customWidth="1"/>
    <col min="3" max="3" width="70" customWidth="1"/>
    <col min="4" max="4" width="62" customWidth="1"/>
    <col min="5" max="5" width="38" customWidth="1"/>
    <col min="6" max="6" width="20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44" t="s">
        <v>70</v>
      </c>
      <c r="B2" s="45"/>
      <c r="C2" s="45"/>
      <c r="D2" s="45"/>
      <c r="E2" s="45"/>
      <c r="F2" s="45"/>
    </row>
    <row r="3" spans="1:6">
      <c r="A3" s="1"/>
      <c r="B3" s="1"/>
      <c r="C3" s="1"/>
      <c r="D3" s="1"/>
      <c r="E3" s="1"/>
      <c r="F3" s="1"/>
    </row>
    <row r="4" spans="1:6">
      <c r="A4" s="6" t="s">
        <v>28</v>
      </c>
      <c r="B4" s="6" t="s">
        <v>71</v>
      </c>
      <c r="C4" s="6" t="s">
        <v>72</v>
      </c>
      <c r="D4" s="6" t="s">
        <v>73</v>
      </c>
      <c r="E4" s="6" t="s">
        <v>74</v>
      </c>
      <c r="F4" s="6" t="s">
        <v>75</v>
      </c>
    </row>
    <row r="5" spans="1:6" ht="150" customHeight="1">
      <c r="A5" s="4">
        <v>1</v>
      </c>
      <c r="B5" s="4" t="s">
        <v>497</v>
      </c>
      <c r="C5" s="14" t="s">
        <v>498</v>
      </c>
      <c r="D5" s="4" t="s">
        <v>499</v>
      </c>
      <c r="E5" s="4" t="s">
        <v>500</v>
      </c>
      <c r="F5" s="8" t="s">
        <v>678</v>
      </c>
    </row>
    <row r="6" spans="1:6" ht="150" customHeight="1">
      <c r="A6" s="4">
        <v>2</v>
      </c>
      <c r="B6" s="4" t="s">
        <v>501</v>
      </c>
      <c r="C6" s="4" t="s">
        <v>502</v>
      </c>
      <c r="D6" s="4" t="s">
        <v>503</v>
      </c>
      <c r="E6" s="4" t="s">
        <v>504</v>
      </c>
      <c r="F6" s="8" t="s">
        <v>679</v>
      </c>
    </row>
    <row r="7" spans="1:6" ht="150" customHeight="1">
      <c r="A7" s="4">
        <v>3</v>
      </c>
      <c r="B7" s="4" t="s">
        <v>505</v>
      </c>
      <c r="C7" s="4" t="s">
        <v>506</v>
      </c>
      <c r="D7" s="4" t="s">
        <v>507</v>
      </c>
      <c r="E7" s="4" t="s">
        <v>508</v>
      </c>
      <c r="F7" s="8" t="s">
        <v>680</v>
      </c>
    </row>
    <row r="8" spans="1:6" ht="150" customHeight="1">
      <c r="A8" s="4">
        <v>4</v>
      </c>
      <c r="B8" s="4" t="s">
        <v>509</v>
      </c>
      <c r="C8" s="4" t="s">
        <v>510</v>
      </c>
      <c r="D8" s="4" t="s">
        <v>511</v>
      </c>
      <c r="E8" s="4" t="s">
        <v>512</v>
      </c>
      <c r="F8" s="8" t="s">
        <v>681</v>
      </c>
    </row>
    <row r="9" spans="1:6" ht="150" customHeight="1">
      <c r="A9" s="4">
        <v>5</v>
      </c>
      <c r="B9" s="4" t="s">
        <v>513</v>
      </c>
      <c r="C9" s="4" t="s">
        <v>514</v>
      </c>
      <c r="D9" s="4" t="s">
        <v>515</v>
      </c>
      <c r="E9" s="4" t="s">
        <v>516</v>
      </c>
      <c r="F9" s="8" t="s">
        <v>681</v>
      </c>
    </row>
    <row r="10" spans="1:6" ht="150" customHeight="1">
      <c r="A10" s="4">
        <v>6</v>
      </c>
      <c r="B10" s="4" t="s">
        <v>517</v>
      </c>
      <c r="C10" s="4" t="s">
        <v>632</v>
      </c>
      <c r="D10" s="4" t="s">
        <v>518</v>
      </c>
      <c r="E10" s="4" t="s">
        <v>519</v>
      </c>
      <c r="F10" s="8" t="s">
        <v>681</v>
      </c>
    </row>
    <row r="11" spans="1:6" ht="150" customHeight="1">
      <c r="A11" s="4">
        <v>7</v>
      </c>
      <c r="B11" s="4" t="s">
        <v>520</v>
      </c>
      <c r="C11" s="4" t="s">
        <v>633</v>
      </c>
      <c r="D11" s="4" t="s">
        <v>521</v>
      </c>
      <c r="E11" s="4" t="s">
        <v>522</v>
      </c>
      <c r="F11" s="8" t="s">
        <v>682</v>
      </c>
    </row>
    <row r="12" spans="1:6" ht="150" customHeight="1">
      <c r="A12" s="4">
        <v>8</v>
      </c>
      <c r="B12" s="4" t="s">
        <v>523</v>
      </c>
      <c r="C12" s="4" t="s">
        <v>634</v>
      </c>
      <c r="D12" s="4" t="s">
        <v>524</v>
      </c>
      <c r="E12" s="4" t="s">
        <v>525</v>
      </c>
      <c r="F12" s="8" t="s">
        <v>683</v>
      </c>
    </row>
    <row r="13" spans="1:6" ht="150" customHeight="1">
      <c r="A13" s="4">
        <v>9</v>
      </c>
      <c r="B13" s="4" t="s">
        <v>526</v>
      </c>
      <c r="C13" s="4" t="s">
        <v>635</v>
      </c>
      <c r="D13" s="4" t="s">
        <v>527</v>
      </c>
      <c r="E13" s="4" t="s">
        <v>528</v>
      </c>
      <c r="F13" s="8" t="s">
        <v>684</v>
      </c>
    </row>
    <row r="14" spans="1:6" ht="150" customHeight="1">
      <c r="A14" s="4">
        <v>10</v>
      </c>
      <c r="B14" s="4" t="s">
        <v>529</v>
      </c>
      <c r="C14" s="4" t="s">
        <v>530</v>
      </c>
      <c r="D14" s="4" t="s">
        <v>531</v>
      </c>
      <c r="E14" s="4" t="s">
        <v>532</v>
      </c>
      <c r="F14" s="8" t="s">
        <v>681</v>
      </c>
    </row>
    <row r="15" spans="1:6" ht="150" customHeight="1">
      <c r="A15" s="4">
        <v>11</v>
      </c>
      <c r="B15" s="4" t="s">
        <v>533</v>
      </c>
      <c r="C15" s="4" t="s">
        <v>534</v>
      </c>
      <c r="D15" s="4" t="s">
        <v>535</v>
      </c>
      <c r="E15" s="4" t="s">
        <v>536</v>
      </c>
      <c r="F15" s="8" t="s">
        <v>685</v>
      </c>
    </row>
    <row r="16" spans="1:6" ht="150" customHeight="1">
      <c r="A16" s="4">
        <v>12</v>
      </c>
      <c r="B16" s="4" t="s">
        <v>537</v>
      </c>
      <c r="C16" s="4" t="s">
        <v>538</v>
      </c>
      <c r="D16" s="4" t="s">
        <v>539</v>
      </c>
      <c r="E16" s="4" t="s">
        <v>540</v>
      </c>
      <c r="F16" s="8" t="s">
        <v>687</v>
      </c>
    </row>
    <row r="17" spans="1:6" ht="150" customHeight="1">
      <c r="A17" s="4">
        <v>13</v>
      </c>
      <c r="B17" s="4" t="s">
        <v>541</v>
      </c>
      <c r="C17" s="4" t="s">
        <v>542</v>
      </c>
      <c r="D17" s="4" t="s">
        <v>543</v>
      </c>
      <c r="E17" s="4" t="s">
        <v>544</v>
      </c>
      <c r="F17" s="8" t="s">
        <v>686</v>
      </c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F2"/>
  </mergeCells>
  <dataValidations count="1">
    <dataValidation type="list" sqref="F5:F17" xr:uid="{A1958976-E4C4-4D0B-8C9D-4030CD837BCF}">
      <formula1>"Not Started,In Progress,Done,Blocked"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1000"/>
  <sheetViews>
    <sheetView showGridLines="0" tabSelected="1" workbookViewId="0">
      <selection activeCell="E17" sqref="E17:F17"/>
    </sheetView>
  </sheetViews>
  <sheetFormatPr defaultColWidth="12.59765625" defaultRowHeight="13.8"/>
  <cols>
    <col min="1" max="1" width="3" customWidth="1"/>
    <col min="2" max="2" width="7" customWidth="1"/>
    <col min="3" max="3" width="28" customWidth="1"/>
    <col min="4" max="5" width="15" customWidth="1"/>
    <col min="6" max="6" width="17" customWidth="1"/>
    <col min="7" max="8" width="15" customWidth="1"/>
    <col min="9" max="9" width="16" customWidth="1"/>
    <col min="10" max="26" width="8.59765625" customWidth="1"/>
  </cols>
  <sheetData>
    <row r="1" spans="2:9" ht="42" customHeight="1">
      <c r="B1" s="44" t="s">
        <v>76</v>
      </c>
      <c r="C1" s="45"/>
      <c r="D1" s="45"/>
      <c r="E1" s="45"/>
      <c r="F1" s="45"/>
      <c r="G1" s="45"/>
      <c r="H1" s="45"/>
      <c r="I1" s="45"/>
    </row>
    <row r="2" spans="2:9">
      <c r="B2" s="1"/>
      <c r="C2" s="1"/>
      <c r="D2" s="1"/>
      <c r="E2" s="1"/>
      <c r="F2" s="1"/>
      <c r="G2" s="1"/>
      <c r="H2" s="1"/>
      <c r="I2" s="1"/>
    </row>
    <row r="3" spans="2:9">
      <c r="B3" s="46" t="s">
        <v>1</v>
      </c>
      <c r="C3" s="54"/>
      <c r="D3" s="46" t="str">
        <f>Cover!C4</f>
        <v>OrangeHRM Recruitment</v>
      </c>
      <c r="E3" s="54"/>
      <c r="F3" s="54"/>
      <c r="G3" s="54"/>
      <c r="H3" s="54"/>
      <c r="I3" s="54"/>
    </row>
    <row r="4" spans="2:9">
      <c r="B4" s="46" t="s">
        <v>6</v>
      </c>
      <c r="C4" s="54"/>
      <c r="D4" s="46" t="str">
        <f>Cover!C6</f>
        <v>Group01_23130299_NguyenVanThang</v>
      </c>
      <c r="E4" s="54"/>
      <c r="F4" s="54"/>
      <c r="G4" s="54"/>
      <c r="H4" s="54"/>
      <c r="I4" s="54"/>
    </row>
    <row r="5" spans="2:9">
      <c r="B5" s="46" t="s">
        <v>77</v>
      </c>
      <c r="C5" s="54"/>
      <c r="D5" s="60"/>
      <c r="E5" s="47"/>
      <c r="F5" s="47"/>
      <c r="G5" s="60"/>
      <c r="H5" s="47"/>
      <c r="I5" s="47"/>
    </row>
    <row r="6" spans="2:9">
      <c r="B6" s="46" t="s">
        <v>78</v>
      </c>
      <c r="C6" s="54"/>
      <c r="D6" s="60"/>
      <c r="E6" s="47"/>
      <c r="F6" s="47"/>
      <c r="G6" s="47"/>
      <c r="H6" s="47"/>
      <c r="I6" s="47"/>
    </row>
    <row r="7" spans="2:9">
      <c r="B7" s="1"/>
      <c r="C7" s="1"/>
      <c r="D7" s="1"/>
      <c r="E7" s="1"/>
      <c r="F7" s="1"/>
      <c r="G7" s="1"/>
      <c r="H7" s="1"/>
      <c r="I7" s="1"/>
    </row>
    <row r="8" spans="2:9">
      <c r="B8" s="1"/>
      <c r="C8" s="1"/>
      <c r="D8" s="1"/>
      <c r="E8" s="1"/>
      <c r="F8" s="1"/>
      <c r="G8" s="1"/>
      <c r="H8" s="1"/>
      <c r="I8" s="1"/>
    </row>
    <row r="9" spans="2:9" ht="31.5" customHeight="1">
      <c r="B9" s="6" t="s">
        <v>28</v>
      </c>
      <c r="C9" s="6" t="s">
        <v>41</v>
      </c>
      <c r="D9" s="6" t="s">
        <v>44</v>
      </c>
      <c r="E9" s="6" t="s">
        <v>45</v>
      </c>
      <c r="F9" s="6" t="s">
        <v>46</v>
      </c>
      <c r="G9" s="6" t="s">
        <v>47</v>
      </c>
      <c r="H9" s="6" t="s">
        <v>48</v>
      </c>
      <c r="I9" s="6" t="s">
        <v>79</v>
      </c>
    </row>
    <row r="10" spans="2:9" ht="30" customHeight="1">
      <c r="B10" s="4">
        <v>1</v>
      </c>
      <c r="C10" s="4" t="s">
        <v>94</v>
      </c>
      <c r="D10" s="4">
        <f>RECRUIT_VAC!A6</f>
        <v>23</v>
      </c>
      <c r="E10" s="4">
        <f>RECRUIT_VAC!B6</f>
        <v>2</v>
      </c>
      <c r="F10" s="4">
        <f>RECRUIT_VAC!C6</f>
        <v>0</v>
      </c>
      <c r="G10" s="4">
        <f>RECRUIT_VAC!D6</f>
        <v>0</v>
      </c>
      <c r="H10" s="4">
        <f>RECRUIT_VAC!E6</f>
        <v>0</v>
      </c>
      <c r="I10" s="4">
        <f>RECRUIT_VAC!F6</f>
        <v>25</v>
      </c>
    </row>
    <row r="11" spans="2:9" ht="30" customHeight="1">
      <c r="B11" s="4">
        <v>2</v>
      </c>
      <c r="C11" s="4" t="s">
        <v>114</v>
      </c>
      <c r="D11" s="4">
        <f>RECRUIT_CAND!A6</f>
        <v>0</v>
      </c>
      <c r="E11" s="4">
        <f>RECRUIT_CAND!B6</f>
        <v>0</v>
      </c>
      <c r="F11" s="4">
        <f>RECRUIT_CAND!C6</f>
        <v>25</v>
      </c>
      <c r="G11" s="4">
        <f>RECRUIT_CAND!D6</f>
        <v>0</v>
      </c>
      <c r="H11" s="4">
        <f>RECRUIT_CAND!E6</f>
        <v>0</v>
      </c>
      <c r="I11" s="4">
        <f>RECRUIT_CAND!F6</f>
        <v>25</v>
      </c>
    </row>
    <row r="12" spans="2:9" ht="30" customHeight="1">
      <c r="B12" s="4">
        <v>3</v>
      </c>
      <c r="C12" s="4" t="s">
        <v>126</v>
      </c>
      <c r="D12" s="4">
        <f>RECRUIT_FLOW!A6</f>
        <v>0</v>
      </c>
      <c r="E12" s="4">
        <f>RECRUIT_FLOW!B6</f>
        <v>0</v>
      </c>
      <c r="F12" s="4">
        <f>RECRUIT_FLOW!C6</f>
        <v>25</v>
      </c>
      <c r="G12" s="4">
        <f>RECRUIT_FLOW!D6</f>
        <v>0</v>
      </c>
      <c r="H12" s="4">
        <f>RECRUIT_FLOW!E6</f>
        <v>0</v>
      </c>
      <c r="I12" s="4">
        <f>RECRUIT_FLOW!F6</f>
        <v>25</v>
      </c>
    </row>
    <row r="13" spans="2:9">
      <c r="B13" s="1"/>
      <c r="C13" s="1"/>
      <c r="D13" s="1"/>
      <c r="E13" s="1"/>
      <c r="F13" s="1"/>
      <c r="G13" s="1"/>
      <c r="H13" s="1"/>
      <c r="I13" s="1"/>
    </row>
    <row r="14" spans="2:9">
      <c r="B14" s="61" t="s">
        <v>79</v>
      </c>
      <c r="C14" s="47"/>
      <c r="D14" s="13">
        <f t="shared" ref="D14:I14" si="0">SUM(D10:D12)</f>
        <v>23</v>
      </c>
      <c r="E14" s="13">
        <f t="shared" si="0"/>
        <v>2</v>
      </c>
      <c r="F14" s="13">
        <f t="shared" si="0"/>
        <v>50</v>
      </c>
      <c r="G14" s="13">
        <f t="shared" si="0"/>
        <v>0</v>
      </c>
      <c r="H14" s="13">
        <f t="shared" si="0"/>
        <v>0</v>
      </c>
      <c r="I14" s="13">
        <f t="shared" si="0"/>
        <v>75</v>
      </c>
    </row>
    <row r="15" spans="2:9">
      <c r="B15" s="1"/>
      <c r="C15" s="1"/>
      <c r="D15" s="1"/>
      <c r="E15" s="1"/>
      <c r="F15" s="1"/>
      <c r="G15" s="1"/>
      <c r="H15" s="1"/>
      <c r="I15" s="1"/>
    </row>
    <row r="16" spans="2:9">
      <c r="B16" s="1"/>
      <c r="C16" s="1"/>
      <c r="D16" s="1"/>
      <c r="E16" s="1"/>
      <c r="F16" s="1"/>
      <c r="G16" s="1"/>
      <c r="H16" s="1"/>
      <c r="I16" s="1"/>
    </row>
    <row r="17" spans="2:9">
      <c r="B17" s="46" t="s">
        <v>80</v>
      </c>
      <c r="C17" s="54"/>
      <c r="D17" s="54"/>
      <c r="E17" s="62">
        <f>IF(I14=0,"",(D14+E14)/I14)</f>
        <v>0.33333333333333331</v>
      </c>
      <c r="F17" s="54"/>
      <c r="G17" s="1"/>
      <c r="H17" s="1"/>
      <c r="I17" s="1"/>
    </row>
    <row r="18" spans="2:9">
      <c r="B18" s="46" t="s">
        <v>81</v>
      </c>
      <c r="C18" s="54"/>
      <c r="D18" s="54"/>
      <c r="E18" s="62">
        <f>IF(D14+E14=0,"Chưa thực thi",D14/(D14+E14))</f>
        <v>0.92</v>
      </c>
      <c r="F18" s="54"/>
      <c r="G18" s="1"/>
      <c r="H18" s="1"/>
      <c r="I18" s="1"/>
    </row>
    <row r="19" spans="2:9">
      <c r="B19" s="1"/>
      <c r="C19" s="1"/>
      <c r="D19" s="1"/>
      <c r="E19" s="1"/>
      <c r="F19" s="1"/>
      <c r="G19" s="1"/>
      <c r="H19" s="1"/>
      <c r="I19" s="1"/>
    </row>
    <row r="20" spans="2:9" ht="39.75" customHeight="1">
      <c r="B20" s="52" t="s">
        <v>82</v>
      </c>
      <c r="C20" s="45"/>
      <c r="D20" s="45"/>
      <c r="E20" s="45"/>
      <c r="F20" s="45"/>
      <c r="G20" s="45"/>
      <c r="H20" s="45"/>
      <c r="I20" s="45"/>
    </row>
    <row r="21" spans="2:9" ht="15.75" customHeight="1">
      <c r="B21" s="1"/>
      <c r="C21" s="1"/>
      <c r="D21" s="1"/>
      <c r="E21" s="1"/>
      <c r="F21" s="1"/>
      <c r="G21" s="1"/>
      <c r="H21" s="1"/>
      <c r="I21" s="1"/>
    </row>
    <row r="22" spans="2:9" ht="39.75" customHeight="1">
      <c r="B22" s="52" t="s">
        <v>83</v>
      </c>
      <c r="C22" s="45"/>
      <c r="D22" s="45"/>
      <c r="E22" s="45"/>
      <c r="F22" s="45"/>
      <c r="G22" s="45"/>
      <c r="H22" s="45"/>
      <c r="I22" s="45"/>
    </row>
    <row r="23" spans="2:9" ht="15.75" customHeight="1">
      <c r="B23" s="1"/>
      <c r="C23" s="1"/>
      <c r="D23" s="1"/>
      <c r="E23" s="1"/>
      <c r="F23" s="1"/>
      <c r="G23" s="1"/>
      <c r="H23" s="1"/>
      <c r="I23" s="1"/>
    </row>
    <row r="24" spans="2:9" ht="15.75" customHeight="1"/>
    <row r="25" spans="2:9" ht="15.75" customHeight="1"/>
    <row r="26" spans="2:9" ht="15.75" customHeight="1"/>
    <row r="27" spans="2:9" ht="15.75" customHeight="1"/>
    <row r="28" spans="2:9" ht="15.75" customHeight="1"/>
    <row r="29" spans="2:9" ht="15.75" customHeight="1"/>
    <row r="30" spans="2:9" ht="15.75" customHeight="1"/>
    <row r="31" spans="2:9" ht="15.75" customHeight="1"/>
    <row r="32" spans="2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B1:I1"/>
    <mergeCell ref="B3:C3"/>
    <mergeCell ref="D3:I3"/>
    <mergeCell ref="B4:C4"/>
    <mergeCell ref="D4:I4"/>
    <mergeCell ref="D5:F5"/>
    <mergeCell ref="G5:I5"/>
    <mergeCell ref="D6:I6"/>
    <mergeCell ref="B20:I20"/>
    <mergeCell ref="B22:I22"/>
    <mergeCell ref="B5:C5"/>
    <mergeCell ref="B6:C6"/>
    <mergeCell ref="B14:C14"/>
    <mergeCell ref="B17:D17"/>
    <mergeCell ref="E17:F17"/>
    <mergeCell ref="B18:D18"/>
    <mergeCell ref="E18:F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TestDesign</vt:lpstr>
      <vt:lpstr>RECRUIT_VAC</vt:lpstr>
      <vt:lpstr>RECRUIT_CAND</vt:lpstr>
      <vt:lpstr>RECRUIT_FLOW</vt:lpstr>
      <vt:lpstr>Test Data</vt:lpstr>
      <vt:lpstr>Automation Plan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Ground John</cp:lastModifiedBy>
  <dcterms:modified xsi:type="dcterms:W3CDTF">2026-10-23T07:19:37Z</dcterms:modified>
</cp:coreProperties>
</file>