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ceb499e3d44c3d" /></Relationships>
</file>

<file path=xl/workbook.xml><?xml version="1.0" encoding="utf-8"?>
<x:workbook xmlns:x="http://schemas.openxmlformats.org/spreadsheetml/2006/main">
  <x:sheets>
    <x:sheet xmlns:r="http://schemas.openxmlformats.org/officeDocument/2006/relationships" name="Cover" sheetId="1" r:id="Rde46881891a9440f"/>
    <x:sheet xmlns:r="http://schemas.openxmlformats.org/officeDocument/2006/relationships" name="Test case List" sheetId="2" r:id="Re227121ff27a4cfb"/>
    <x:sheet xmlns:r="http://schemas.openxmlformats.org/officeDocument/2006/relationships" name="TestDesign" sheetId="3" r:id="R7b5cfd126cef4463"/>
    <x:sheet xmlns:r="http://schemas.openxmlformats.org/officeDocument/2006/relationships" name="PIM_EMP" sheetId="4" r:id="Rfa51bb0840524cff"/>
    <x:sheet xmlns:r="http://schemas.openxmlformats.org/officeDocument/2006/relationships" name="PIM_PERSONAL" sheetId="5" r:id="R34ed9c7be1b84e20"/>
    <x:sheet xmlns:r="http://schemas.openxmlformats.org/officeDocument/2006/relationships" name="PIM_JOB" sheetId="6" r:id="R4456e1d9b5aa4ced"/>
    <x:sheet xmlns:r="http://schemas.openxmlformats.org/officeDocument/2006/relationships" name="Test Data" sheetId="7" r:id="Rd858ca0f510241c5"/>
    <x:sheet xmlns:r="http://schemas.openxmlformats.org/officeDocument/2006/relationships" name="Automation Plan" sheetId="8" r:id="R8c412de4fab34473"/>
    <x:sheet xmlns:r="http://schemas.openxmlformats.org/officeDocument/2006/relationships" name="Test Report" sheetId="9" r:id="R417b1d9d9ad4456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0.0%"/>
  </x:numFmts>
  <x:fonts count="5">
    <x:font>
      <x:sz val="11"/>
      <x:name val="Carlito"/>
    </x:font>
    <x:font>
      <x:sz val="10"/>
      <x:color rgb="FF172033"/>
      <x:name val="Tahoma"/>
    </x:font>
    <x:font>
      <x:b/>
      <x:sz val="16"/>
      <x:color rgb="FF111111"/>
      <x:name val="Tahoma"/>
    </x:font>
    <x:font>
      <x:b/>
      <x:sz val="10"/>
      <x:color rgb="FF172033"/>
      <x:name val="Tahoma"/>
    </x:font>
    <x:font>
      <x:b/>
      <x:sz val="10"/>
      <x:color rgb="FFFFFFFF"/>
      <x:name val="Tahoma"/>
    </x:font>
  </x:fonts>
  <x:fills count="6">
    <x:fill>
      <x:patternFill patternType="none"/>
    </x:fill>
    <x:fill>
      <x:patternFill patternType="gray125"/>
    </x:fill>
    <x:fill>
      <x:patternFill patternType="solid">
        <x:fgColor rgb="FF000080"/>
      </x:patternFill>
    </x:fill>
    <x:fill>
      <x:patternFill patternType="solid">
        <x:fgColor rgb="FFEAF0F8"/>
      </x:patternFill>
    </x:fill>
    <x:fill>
      <x:patternFill patternType="solid">
        <x:fgColor rgb="FFFFF6D5"/>
      </x:patternFill>
    </x:fill>
    <x:fill>
      <x:patternFill patternType="solid">
        <x:fgColor rgb="FFF4F7FB"/>
      </x:patternFill>
    </x:fill>
  </x:fills>
  <x:borders count="2">
    <x:border>
      <x:left/>
      <x:right/>
      <x:top/>
      <x:bottom/>
      <x:diagonal/>
    </x:border>
    <x:border>
      <x:left style="thin">
        <x:color rgb="FFAEB8C6"/>
      </x:left>
      <x:right style="thin">
        <x:color rgb="FFAEB8C6"/>
      </x:right>
      <x:top style="thin">
        <x:color rgb="FFAEB8C6"/>
      </x:top>
      <x:bottom style="thin">
        <x:color rgb="FFAEB8C6"/>
      </x:bottom>
      <x:diagonal/>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0"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cellXfs>
  <x:cellStyles count="1">
    <x:cellStyle name="Normal" xfId="0"/>
  </x:cellStyles>
  <x:dxfs count="12">
    <x:dxf>
      <x:font>
        <x:b/>
        <x:color rgb="FF20603A"/>
      </x:font>
      <x:fill>
        <x:patternFill patternType="solid">
          <x:bgColor rgb="FFE7F2E8"/>
        </x:patternFill>
      </x:fill>
    </x:dxf>
    <x:dxf>
      <x:font>
        <x:b/>
        <x:color rgb="FFA52323"/>
      </x:font>
      <x:fill>
        <x:patternFill patternType="solid">
          <x:bgColor rgb="FFFCE8E6"/>
        </x:patternFill>
      </x:fill>
    </x:dxf>
    <x:dxf>
      <x:font>
        <x:b/>
        <x:color rgb="FF805A00"/>
      </x:font>
      <x:fill>
        <x:patternFill patternType="solid">
          <x:bgColor rgb="FFFFF0CE"/>
        </x:patternFill>
      </x:fill>
    </x:dxf>
    <x:dxf>
      <x:font>
        <x:b/>
        <x:color rgb="FF525E6D"/>
      </x:font>
      <x:fill>
        <x:patternFill patternType="solid">
          <x:bgColor rgb="FFECEFF3"/>
        </x:patternFill>
      </x:fill>
    </x:dxf>
    <x:dxf>
      <x:font>
        <x:b/>
        <x:color rgb="FF20603A"/>
      </x:font>
      <x:fill>
        <x:patternFill patternType="solid">
          <x:bgColor rgb="FFE7F2E8"/>
        </x:patternFill>
      </x:fill>
    </x:dxf>
    <x:dxf>
      <x:font>
        <x:b/>
        <x:color rgb="FFA52323"/>
      </x:font>
      <x:fill>
        <x:patternFill patternType="solid">
          <x:bgColor rgb="FFFCE8E6"/>
        </x:patternFill>
      </x:fill>
    </x:dxf>
    <x:dxf>
      <x:font>
        <x:b/>
        <x:color rgb="FF805A00"/>
      </x:font>
      <x:fill>
        <x:patternFill patternType="solid">
          <x:bgColor rgb="FFFFF0CE"/>
        </x:patternFill>
      </x:fill>
    </x:dxf>
    <x:dxf>
      <x:font>
        <x:b/>
        <x:color rgb="FF525E6D"/>
      </x:font>
      <x:fill>
        <x:patternFill patternType="solid">
          <x:bgColor rgb="FFECEFF3"/>
        </x:patternFill>
      </x:fill>
    </x:dxf>
    <x:dxf>
      <x:font>
        <x:b/>
        <x:color rgb="FF20603A"/>
      </x:font>
      <x:fill>
        <x:patternFill patternType="solid">
          <x:bgColor rgb="FFE7F2E8"/>
        </x:patternFill>
      </x:fill>
    </x:dxf>
    <x:dxf>
      <x:font>
        <x:b/>
        <x:color rgb="FFA52323"/>
      </x:font>
      <x:fill>
        <x:patternFill patternType="solid">
          <x:bgColor rgb="FFFCE8E6"/>
        </x:patternFill>
      </x:fill>
    </x:dxf>
    <x:dxf>
      <x:font>
        <x:b/>
        <x:color rgb="FF805A00"/>
      </x:font>
      <x:fill>
        <x:patternFill patternType="solid">
          <x:bgColor rgb="FFFFF0CE"/>
        </x:patternFill>
      </x:fill>
    </x:dxf>
    <x:dxf>
      <x:font>
        <x:b/>
        <x:color rgb="FF525E6D"/>
      </x:font>
      <x:fill>
        <x:patternFill patternType="solid">
          <x:bgColor rgb="FFECEF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969415725684dda" /><Relationship Type="http://schemas.openxmlformats.org/officeDocument/2006/relationships/theme" Target="/xl/theme/theme1.xml" Id="R0945a029d3944749" /><Relationship Type="http://schemas.openxmlformats.org/officeDocument/2006/relationships/sharedStrings" Target="/xl/sharedStrings.xml" Id="R344d7afae8d94f0a" /><Relationship Type="http://schemas.openxmlformats.org/officeDocument/2006/relationships/worksheet" Target="/xl/worksheets/sheet1.xml" Id="Rde46881891a9440f" /><Relationship Type="http://schemas.openxmlformats.org/officeDocument/2006/relationships/worksheet" Target="/xl/worksheets/sheet2.xml" Id="Re227121ff27a4cfb" /><Relationship Type="http://schemas.openxmlformats.org/officeDocument/2006/relationships/worksheet" Target="/xl/worksheets/sheet3.xml" Id="R7b5cfd126cef4463" /><Relationship Type="http://schemas.openxmlformats.org/officeDocument/2006/relationships/worksheet" Target="/xl/worksheets/sheet4.xml" Id="Rfa51bb0840524cff" /><Relationship Type="http://schemas.openxmlformats.org/officeDocument/2006/relationships/worksheet" Target="/xl/worksheets/sheet5.xml" Id="R34ed9c7be1b84e20" /><Relationship Type="http://schemas.openxmlformats.org/officeDocument/2006/relationships/worksheet" Target="/xl/worksheets/sheet6.xml" Id="R4456e1d9b5aa4ced" /><Relationship Type="http://schemas.openxmlformats.org/officeDocument/2006/relationships/worksheet" Target="/xl/worksheets/sheet7.xml" Id="Rd858ca0f510241c5" /><Relationship Type="http://schemas.openxmlformats.org/officeDocument/2006/relationships/worksheet" Target="/xl/worksheets/sheet8.xml" Id="R8c412de4fab34473" /><Relationship Type="http://schemas.openxmlformats.org/officeDocument/2006/relationships/worksheet" Target="/xl/worksheets/sheet9.xml" Id="R417b1d9d9ad4456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22" hidden="0" customWidth="1"/>
    <x:col min="3" max="3" width="20" hidden="0" customWidth="1"/>
    <x:col min="4" max="4" width="20" hidden="0" customWidth="1"/>
    <x:col min="5" max="5" width="15" hidden="0" customWidth="1"/>
    <x:col min="6" max="6" width="24" hidden="0" customWidth="1"/>
    <x:col min="7" max="7" width="34" hidden="0" customWidth="1"/>
    <x:col min="8" max="8" width="12" hidden="0" customWidth="1"/>
  </x:cols>
  <x:sheetData>
    <x:row r="2" ht="42" customHeight="1">
      <x:c r="B2" s="5" t="str">
        <x:v>TEST CASE</x:v>
      </x:c>
      <x:c r="C2" s="5"/>
      <x:c r="D2" s="5"/>
      <x:c r="E2" s="5"/>
      <x:c r="F2" s="5"/>
      <x:c r="G2" s="5"/>
      <x:c r="H2" s="3"/>
    </x:row>
    <x:row r="3">
      <x:c r="B3" s="3"/>
      <x:c r="C3" s="3"/>
      <x:c r="D3" s="3"/>
      <x:c r="E3" s="3"/>
      <x:c r="F3" s="3"/>
      <x:c r="G3" s="3"/>
      <x:c r="H3" s="3"/>
    </x:row>
    <x:row r="4">
      <x:c r="B4" s="8" t="str">
        <x:v>Project Name</x:v>
      </x:c>
      <x:c r="C4" s="9" t="str">
        <x:v>OrangeHRM PIM</x:v>
      </x:c>
      <x:c r="D4" s="9"/>
      <x:c r="E4" s="9"/>
      <x:c r="F4" s="8" t="str">
        <x:v>Creator</x:v>
      </x:c>
      <x:c r="G4" s="9" t="str">
        <x:v>Võ Minh Nhựt</x:v>
      </x:c>
      <x:c r="H4" s="3"/>
    </x:row>
    <x:row r="5">
      <x:c r="B5" s="8" t="str">
        <x:v>Project Code</x:v>
      </x:c>
      <x:c r="C5" s="9" t="str">
        <x:v>Group01_OrangeHRM</x:v>
      </x:c>
      <x:c r="D5" s="9"/>
      <x:c r="E5" s="9"/>
      <x:c r="F5" s="8" t="str">
        <x:v>Reviewer / Approver</x:v>
      </x:c>
      <x:c r="G5" s="9" t="str"/>
      <x:c r="H5" s="3"/>
    </x:row>
    <x:row r="6">
      <x:c r="B6" s="8" t="str">
        <x:v>Document Code</x:v>
      </x:c>
      <x:c r="C6" s="9" t="str">
        <x:v>Group01_23130226_VoMinhNhut</x:v>
      </x:c>
      <x:c r="D6" s="9"/>
      <x:c r="E6" s="9"/>
      <x:c r="F6" s="8" t="str">
        <x:v>Issue Date</x:v>
      </x:c>
      <x:c r="G6" s="10" t="d">
        <x:v>2026-10-17T00:00:00.000Z</x:v>
      </x:c>
      <x:c r="H6" s="3"/>
    </x:row>
    <x:row r="7">
      <x:c r="B7" s="8"/>
      <x:c r="C7" s="9"/>
      <x:c r="D7" s="9"/>
      <x:c r="E7" s="9"/>
      <x:c r="F7" s="8" t="str">
        <x:v>Version</x:v>
      </x:c>
      <x:c r="G7" s="9" t="str">
        <x:v>1.0</x:v>
      </x:c>
      <x:c r="H7" s="3"/>
    </x:row>
    <x:row r="8">
      <x:c r="B8" s="3"/>
      <x:c r="C8" s="3"/>
      <x:c r="D8" s="3"/>
      <x:c r="E8" s="3"/>
      <x:c r="F8" s="3"/>
      <x:c r="G8" s="3"/>
      <x:c r="H8" s="3"/>
    </x:row>
    <x:row r="9">
      <x:c r="B9" s="3"/>
      <x:c r="C9" s="3"/>
      <x:c r="D9" s="3"/>
      <x:c r="E9" s="3"/>
      <x:c r="F9" s="3"/>
      <x:c r="G9" s="3"/>
      <x:c r="H9" s="3"/>
    </x:row>
    <x:row r="10">
      <x:c r="B10" s="7" t="str">
        <x:v>Record of change</x:v>
      </x:c>
      <x:c r="C10" s="3"/>
      <x:c r="D10" s="3"/>
      <x:c r="E10" s="3"/>
      <x:c r="F10" s="3"/>
      <x:c r="G10" s="3"/>
      <x:c r="H10" s="3"/>
    </x:row>
    <x:row r="11" ht="46" customHeight="1">
      <x:c r="B11" s="13" t="str">
        <x:v>Effective Date</x:v>
      </x:c>
      <x:c r="C11" s="13" t="str">
        <x:v>Version</x:v>
      </x:c>
      <x:c r="D11" s="13" t="str">
        <x:v>Change Item</x:v>
      </x:c>
      <x:c r="E11" s="13" t="str">
        <x:v>A, D, M</x:v>
      </x:c>
      <x:c r="F11" s="13" t="str">
        <x:v>Change description</x:v>
      </x:c>
      <x:c r="G11" s="13" t="str">
        <x:v>Reference</x:v>
      </x:c>
      <x:c r="H11" s="3"/>
    </x:row>
    <x:row r="12" ht="46" customHeight="1">
      <x:c r="B12" s="6" t="d">
        <x:v>2026-10-17T00:00:00.000Z</x:v>
      </x:c>
      <x:c r="C12" s="3" t="str">
        <x:v>1.0</x:v>
      </x:c>
      <x:c r="D12" s="3" t="str">
        <x:v>PIM test design</x:v>
      </x:c>
      <x:c r="E12" s="3" t="str">
        <x:v>A</x:v>
      </x:c>
      <x:c r="F12" s="3" t="str">
        <x:v>Thiết kế 75 test case cho 3 chức năng PIM.</x:v>
      </x:c>
      <x:c r="G12" s="3" t="str">
        <x:v>ASM06 – Group01</x:v>
      </x:c>
      <x:c r="H12" s="3"/>
    </x:row>
    <x:row r="13">
      <x:c r="B13" s="3"/>
      <x:c r="C13" s="3"/>
      <x:c r="D13" s="3"/>
      <x:c r="E13" s="3"/>
      <x:c r="F13" s="3"/>
      <x:c r="G13" s="3"/>
      <x:c r="H13" s="3"/>
    </x:row>
    <x:row r="14">
      <x:c r="B14" s="3"/>
      <x:c r="C14" s="3"/>
      <x:c r="D14" s="3"/>
      <x:c r="E14" s="3"/>
      <x:c r="F14" s="3"/>
      <x:c r="G14" s="3"/>
      <x:c r="H14" s="3"/>
    </x:row>
    <x:row r="15" ht="25" customHeight="1">
      <x:c r="B15" s="7" t="str">
        <x:v>Student ID</x:v>
      </x:c>
      <x:c r="C15" s="3" t="str">
        <x:v>23130226</x:v>
      </x:c>
      <x:c r="D15" s="3"/>
      <x:c r="E15" s="3"/>
      <x:c r="F15" s="3"/>
      <x:c r="G15" s="3"/>
      <x:c r="H15" s="3"/>
    </x:row>
    <x:row r="16" ht="25" customHeight="1">
      <x:c r="B16" s="7" t="str">
        <x:v>Group</x:v>
      </x:c>
      <x:c r="C16" s="3" t="str">
        <x:v>Group01</x:v>
      </x:c>
      <x:c r="D16" s="3"/>
      <x:c r="E16" s="3"/>
      <x:c r="F16" s="3"/>
      <x:c r="G16" s="3"/>
      <x:c r="H16" s="3"/>
    </x:row>
    <x:row r="17" ht="25" customHeight="1">
      <x:c r="B17" s="7" t="str">
        <x:v>Role</x:v>
      </x:c>
      <x:c r="C17" s="3" t="str">
        <x:v>Nhóm trưởng</x:v>
      </x:c>
      <x:c r="D17" s="3"/>
      <x:c r="E17" s="3"/>
      <x:c r="F17" s="3"/>
      <x:c r="G17" s="3"/>
      <x:c r="H17" s="3"/>
    </x:row>
    <x:row r="18" ht="25" customHeight="1">
      <x:c r="B18" s="7" t="str">
        <x:v>Website</x:v>
      </x:c>
      <x:c r="C18" s="3" t="str">
        <x:v>https://opensource-demo.orangehrmlive.com/</x:v>
      </x:c>
      <x:c r="D18" s="3"/>
      <x:c r="E18" s="3"/>
      <x:c r="F18" s="3"/>
      <x:c r="G18" s="3"/>
      <x:c r="H18" s="3"/>
    </x:row>
    <x:row r="19" ht="25" customHeight="1">
      <x:c r="B19" s="7" t="str">
        <x:v>Automation tool</x:v>
      </x:c>
      <x:c r="C19" s="3" t="str">
        <x:v>Katalon Recorder</x:v>
      </x:c>
      <x:c r="D19" s="3"/>
      <x:c r="E19" s="3"/>
      <x:c r="F19" s="3"/>
      <x:c r="G19" s="3"/>
      <x:c r="H19" s="3"/>
    </x:row>
    <x:row r="20" ht="25" customHeight="1">
      <x:c r="B20" s="7" t="str">
        <x:v>Scope</x:v>
      </x:c>
      <x:c r="C20" s="3" t="str">
        <x:v>PIM_EMP, PIM_PERSONAL, PIM_JOB</x:v>
      </x:c>
      <x:c r="D20" s="3"/>
      <x:c r="E20" s="3"/>
      <x:c r="F20" s="3"/>
      <x:c r="G20" s="3"/>
      <x:c r="H20" s="3"/>
    </x:row>
    <x:row r="21">
      <x:c r="B21" s="3"/>
      <x:c r="C21" s="3"/>
      <x:c r="D21" s="3"/>
      <x:c r="E21" s="3"/>
      <x:c r="F21" s="3"/>
      <x:c r="G21" s="3"/>
      <x:c r="H21" s="3"/>
    </x:row>
  </x:sheetData>
  <x:mergeCells>
    <x:mergeCell ref="B2:G2"/>
    <x:mergeCell ref="C4:E4"/>
    <x:mergeCell ref="C5:E5"/>
    <x:mergeCell ref="C6:E7"/>
    <x:mergeCell ref="B6:B7"/>
    <x:mergeCell ref="C15:G15"/>
    <x:mergeCell ref="C16:G16"/>
    <x:mergeCell ref="C17:G17"/>
    <x:mergeCell ref="C18:G18"/>
    <x:mergeCell ref="C19:G19"/>
    <x:mergeCell ref="C20:G20"/>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3" hidden="0" customWidth="1"/>
    <x:col min="2" max="2" width="7" hidden="0" customWidth="1"/>
    <x:col min="3" max="3" width="30" hidden="0" customWidth="1"/>
    <x:col min="4" max="4" width="24" hidden="0" customWidth="1"/>
    <x:col min="5" max="5" width="48" hidden="0" customWidth="1"/>
    <x:col min="6" max="6" width="45" hidden="0" customWidth="1"/>
    <x:col min="7" max="7" width="10" hidden="0" customWidth="1"/>
    <x:col min="8" max="8" width="10" hidden="0" customWidth="1"/>
  </x:cols>
  <x:sheetData>
    <x:row r="2" ht="42" customHeight="1">
      <x:c r="B2" s="5" t="str">
        <x:v>TEST CASE LIST</x:v>
      </x:c>
      <x:c r="C2" s="5"/>
      <x:c r="D2" s="5"/>
      <x:c r="E2" s="5"/>
      <x:c r="F2" s="5"/>
      <x:c r="G2" s="3"/>
      <x:c r="H2" s="3"/>
    </x:row>
    <x:row r="3">
      <x:c r="B3" s="3"/>
      <x:c r="C3" s="3"/>
      <x:c r="D3" s="3"/>
      <x:c r="E3" s="3"/>
      <x:c r="F3" s="3"/>
      <x:c r="G3" s="3"/>
      <x:c r="H3" s="3"/>
    </x:row>
    <x:row r="4">
      <x:c r="B4" s="3" t="str">
        <x:v>Project Name</x:v>
      </x:c>
      <x:c r="C4" s="3"/>
      <x:c r="D4" s="3" t="str">
        <x:f>'Cover'!C4</x:f>
        <x:v>OrangeHRM PIM</x:v>
      </x:c>
      <x:c r="E4" s="3"/>
      <x:c r="F4" s="3"/>
      <x:c r="G4" s="3"/>
      <x:c r="H4" s="3"/>
    </x:row>
    <x:row r="5">
      <x:c r="B5" s="3" t="str">
        <x:v>Project Code</x:v>
      </x:c>
      <x:c r="C5" s="3"/>
      <x:c r="D5" s="3" t="str">
        <x:f>'Cover'!C5</x:f>
        <x:v>Group01_OrangeHRM</x:v>
      </x:c>
      <x:c r="E5" s="3"/>
      <x:c r="F5" s="3"/>
      <x:c r="G5" s="3"/>
      <x:c r="H5" s="3"/>
    </x:row>
    <x:row r="6" ht="38" customHeight="1">
      <x:c r="B6" s="3" t="str">
        <x:v>Test Environment</x:v>
      </x:c>
      <x:c r="C6" s="3"/>
      <x:c r="D6" s="3" t="str">
        <x:v>OrangeHRM public demo; Admin; trình duyệt và phiên bản ghi khi chạy.</x:v>
      </x:c>
      <x:c r="E6" s="3"/>
      <x:c r="F6" s="3"/>
      <x:c r="G6" s="3"/>
      <x:c r="H6" s="3"/>
    </x:row>
    <x:row r="7">
      <x:c r="B7" s="3"/>
      <x:c r="C7" s="3"/>
      <x:c r="D7" s="3"/>
      <x:c r="E7" s="3"/>
      <x:c r="F7" s="3"/>
      <x:c r="G7" s="3"/>
      <x:c r="H7" s="3"/>
    </x:row>
    <x:row r="8">
      <x:c r="B8" s="13" t="str">
        <x:v>No.</x:v>
      </x:c>
      <x:c r="C8" s="13" t="str">
        <x:v>Function Name</x:v>
      </x:c>
      <x:c r="D8" s="13" t="str">
        <x:v>Sheet Name</x:v>
      </x:c>
      <x:c r="E8" s="13" t="str">
        <x:v>Description</x:v>
      </x:c>
      <x:c r="F8" s="13" t="str">
        <x:v>Pre-condition</x:v>
      </x:c>
      <x:c r="G8" s="3"/>
      <x:c r="H8" s="3"/>
    </x:row>
    <x:row r="9" ht="74" customHeight="1">
      <x:c r="B9" s="3" t="n">
        <x:v>1</x:v>
      </x:c>
      <x:c r="C9" s="3" t="str">
        <x:v>Employee List và Add Employee</x:v>
      </x:c>
      <x:c r="D9" s="3" t="str">
        <x:v>PIM_EMP</x:v>
      </x:c>
      <x:c r="E9" s="3" t="str">
        <x:v>Tạo nhân viên, kiểm tra dữ liệu đầu vào, ảnh đại diện, tìm kiếm và lọc danh sách.</x:v>
      </x:c>
      <x:c r="F9" s="3" t="str">
        <x:v>Admin đã đăng nhập. Bộ fixture F_DUP và F_FILTER đã chuẩn bị.</x:v>
      </x:c>
      <x:c r="G9" s="3"/>
      <x:c r="H9" s="3"/>
    </x:row>
    <x:row r="10" ht="74" customHeight="1">
      <x:c r="B10" s="3" t="n">
        <x:v>2</x:v>
      </x:c>
      <x:c r="C10" s="3" t="str">
        <x:v>Personal Details và Attachments</x:v>
      </x:c>
      <x:c r="D10" s="3" t="str">
        <x:v>PIM_PERSONAL</x:v>
      </x:c>
      <x:c r="E10" s="3" t="str">
        <x:v>Chỉnh sửa thông tin cá nhân, ngày, danh mục và tệp đính kèm.</x:v>
      </x:c>
      <x:c r="F10" s="3" t="str">
        <x:v>Admin đã đăng nhập. Nhân viên F_PERSON tồn tại và có dữ liệu gốc để khôi phục.</x:v>
      </x:c>
      <x:c r="G10" s="3"/>
      <x:c r="H10" s="3"/>
    </x:row>
    <x:row r="11" ht="74" customHeight="1">
      <x:c r="B11" s="3" t="n">
        <x:v>3</x:v>
      </x:c>
      <x:c r="C11" s="3" t="str">
        <x:v>Job Details và Employment Contract</x:v>
      </x:c>
      <x:c r="D11" s="3" t="str">
        <x:v>PIM_JOB</x:v>
      </x:c>
      <x:c r="E11" s="3" t="str">
        <x:v>Thông tin công việc, hợp đồng, tệp hợp đồng và attachments của tab Job.</x:v>
      </x:c>
      <x:c r="F11" s="3" t="str">
        <x:v>Admin đã đăng nhập. Nhân viên F_JOB tồn tại. Danh mục công việc có lựa chọn hợp lệ.</x:v>
      </x:c>
      <x:c r="G11" s="3"/>
      <x:c r="H11" s="3"/>
    </x:row>
    <x:row r="12">
      <x:c r="B12" s="3"/>
      <x:c r="C12" s="3"/>
      <x:c r="D12" s="3"/>
      <x:c r="E12" s="3"/>
      <x:c r="F12" s="3"/>
      <x:c r="G12" s="3"/>
      <x:c r="H12" s="3"/>
    </x:row>
    <x:row r="13">
      <x:c r="B13" s="3"/>
      <x:c r="C13" s="3"/>
      <x:c r="D13" s="3"/>
      <x:c r="E13" s="3"/>
      <x:c r="F13" s="3"/>
      <x:c r="G13" s="3"/>
      <x:c r="H13" s="3"/>
    </x:row>
    <x:row r="14" ht="38" customHeight="1">
      <x:c r="B14" s="3" t="str">
        <x:v>Mỗi sheet có 25 test case. Input nằm trong Test Case Procedure; mã TD trong Note liên kết TestDesign.</x:v>
      </x:c>
      <x:c r="C14" s="3"/>
      <x:c r="D14" s="3"/>
      <x:c r="E14" s="3"/>
      <x:c r="F14" s="3"/>
      <x:c r="G14" s="3"/>
      <x:c r="H14" s="3"/>
    </x:row>
    <x:row r="15">
      <x:c r="B15" s="3"/>
      <x:c r="C15" s="3"/>
      <x:c r="D15" s="3"/>
      <x:c r="E15" s="3"/>
      <x:c r="F15" s="3"/>
      <x:c r="G15" s="3"/>
      <x:c r="H15" s="3"/>
    </x:row>
    <x:row r="16" ht="40" customHeight="1">
      <x:c r="B16" s="3" t="str">
        <x:v>Result: Passed, Failed, Untested, Blocked hoặc Skipped. Actual result, Defect ID và đường dẫn ảnh/log được ghi vào Note sau run.</x:v>
      </x:c>
      <x:c r="C16" s="3"/>
      <x:c r="D16" s="3"/>
      <x:c r="E16" s="3"/>
      <x:c r="F16" s="3"/>
      <x:c r="G16" s="3"/>
      <x:c r="H16" s="3"/>
    </x:row>
    <x:row r="17">
      <x:c r="B17" s="3"/>
      <x:c r="C17" s="3"/>
      <x:c r="D17" s="3"/>
      <x:c r="E17" s="3"/>
      <x:c r="F17" s="3"/>
      <x:c r="G17" s="3"/>
      <x:c r="H17" s="3"/>
    </x:row>
    <x:row r="18">
      <x:c r="B18" s="3"/>
      <x:c r="C18" s="3"/>
      <x:c r="D18" s="3"/>
      <x:c r="E18" s="3"/>
      <x:c r="F18" s="3"/>
      <x:c r="G18" s="3"/>
      <x:c r="H18" s="3"/>
    </x:row>
  </x:sheetData>
  <x:mergeCells>
    <x:mergeCell ref="B2:F2"/>
    <x:mergeCell ref="B4:C4"/>
    <x:mergeCell ref="D4:F4"/>
    <x:mergeCell ref="B5:C5"/>
    <x:mergeCell ref="D5:F5"/>
    <x:mergeCell ref="B6:C6"/>
    <x:mergeCell ref="D6:F6"/>
    <x:mergeCell ref="B14:F14"/>
    <x:mergeCell ref="B16:F16"/>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29" hidden="0" customWidth="1"/>
    <x:col min="3" max="3" width="33" hidden="0" customWidth="1"/>
    <x:col min="4" max="4" width="68" hidden="0" customWidth="1"/>
    <x:col min="5" max="5" width="27" hidden="0" customWidth="1"/>
    <x:col min="6" max="6" width="76" hidden="0" customWidth="1"/>
  </x:cols>
  <x:sheetData>
    <x:row r="1" ht="30" customHeight="1">
      <x:c r="A1" s="13" t="str">
        <x:v>Req Level 1</x:v>
      </x:c>
      <x:c r="B1" s="13" t="str">
        <x:v>Req Level 2</x:v>
      </x:c>
      <x:c r="C1" s="13" t="str">
        <x:v>Req Level 3</x:v>
      </x:c>
      <x:c r="D1" s="13" t="str">
        <x:v>Test Criteria</x:v>
      </x:c>
      <x:c r="E1" s="13" t="str">
        <x:v>Test Type</x:v>
      </x:c>
      <x:c r="F1" s="13" t="str">
        <x:v>Note</x:v>
      </x:c>
      <x:c r="G1" s="3"/>
      <x:c r="H1" s="3"/>
    </x:row>
    <x:row r="2" ht="74" customHeight="1">
      <x:c r="A2" s="3" t="str">
        <x:v>PIM_EMP</x:v>
      </x:c>
      <x:c r="B2" s="3" t="str">
        <x:v>Employee List và Add Employee</x:v>
      </x:c>
      <x:c r="C2" s="3" t="str">
        <x:v>Tạo và hủy</x:v>
      </x:c>
      <x:c r="D2" s="3" t="str">
        <x:v>Tạo tối thiểu/đầy đủ; không sinh bản ghi khi Cancel.</x:v>
      </x:c>
      <x:c r="E2" s="3" t="str">
        <x:v>Phân vùng tương đương</x:v>
      </x:c>
      <x:c r="F2" s="3" t="str">
        <x:v>TD_PIM_EMP_01
TC_PIM_EMP_001, TC_PIM_EMP_002, TC_PIM_EMP_015</x:v>
      </x:c>
      <x:c r="G2" s="3"/>
      <x:c r="H2" s="3"/>
    </x:row>
    <x:row r="3" ht="138" customHeight="1">
      <x:c r="A3" s="3" t="str">
        <x:v>PIM_EMP</x:v>
      </x:c>
      <x:c r="B3" s="3" t="str">
        <x:v>Employee List và Add Employee</x:v>
      </x:c>
      <x:c r="C3" s="3" t="str">
        <x:v>Validation tên</x:v>
      </x:c>
      <x:c r="D3" s="3" t="str">
        <x:v>First/Last bắt buộc, chuỗi trắng; biên 30/31 ký tự cho First/Middle/Last.</x:v>
      </x:c>
      <x:c r="E3" s="3" t="str">
        <x:v>Phân vùng tương đương
Phân tích giá trị biên</x:v>
      </x:c>
      <x:c r="F3" s="3" t="str">
        <x:v>TD_PIM_EMP_02
TC_PIM_EMP_003, TC_PIM_EMP_004, TC_PIM_EMP_005, TC_PIM_EMP_006, TC_PIM_EMP_007, TC_PIM_EMP_008, TC_PIM_EMP_009, TC_PIM_EMP_010, TC_PIM_EMP_011</x:v>
      </x:c>
      <x:c r="G3" s="3"/>
      <x:c r="H3" s="3"/>
    </x:row>
    <x:row r="4" ht="74" customHeight="1">
      <x:c r="A4" s="3" t="str">
        <x:v>PIM_EMP</x:v>
      </x:c>
      <x:c r="B4" s="3" t="str">
        <x:v>Employee List và Add Employee</x:v>
      </x:c>
      <x:c r="C4" s="3" t="str">
        <x:v>Employee Id</x:v>
      </x:c>
      <x:c r="D4" s="3" t="str">
        <x:v>Biên 10/11 ký tự và kiểm tra trùng khi tạo.</x:v>
      </x:c>
      <x:c r="E4" s="3" t="str">
        <x:v>Phân tích giá trị biên
Phân vùng tương đương</x:v>
      </x:c>
      <x:c r="F4" s="3" t="str">
        <x:v>TD_PIM_EMP_03
TC_PIM_EMP_012, TC_PIM_EMP_013, TC_PIM_EMP_014</x:v>
      </x:c>
      <x:c r="G4" s="3"/>
      <x:c r="H4" s="3"/>
    </x:row>
    <x:row r="5" ht="78" customHeight="1">
      <x:c r="A5" s="3" t="str">
        <x:v>PIM_EMP</x:v>
      </x:c>
      <x:c r="B5" s="3" t="str">
        <x:v>Employee List và Add Employee</x:v>
      </x:c>
      <x:c r="C5" s="3" t="str">
        <x:v>Ảnh đại diện</x:v>
      </x:c>
      <x:c r="D5" s="3" t="str">
        <x:v>JPG/PNG hợp lệ; PDF sai loại; ảnh quá 1 MiB.</x:v>
      </x:c>
      <x:c r="E5" s="3" t="str">
        <x:v>Phân vùng tương đương
Phân tích giá trị biên</x:v>
      </x:c>
      <x:c r="F5" s="3" t="str">
        <x:v>TD_PIM_EMP_04
TC_PIM_EMP_016, TC_PIM_EMP_017, TC_PIM_EMP_018, TC_PIM_EMP_019</x:v>
      </x:c>
      <x:c r="G5" s="3"/>
      <x:c r="H5" s="3"/>
    </x:row>
    <x:row r="6" ht="102" customHeight="1">
      <x:c r="A6" s="3" t="str">
        <x:v>PIM_EMP</x:v>
      </x:c>
      <x:c r="B6" s="3" t="str">
        <x:v>Employee List và Add Employee</x:v>
      </x:c>
      <x:c r="C6" s="3" t="str">
        <x:v>Danh sách nhân viên</x:v>
      </x:c>
      <x:c r="D6" s="3" t="str">
        <x:v>Tìm ID/tên, không có kết quả, lọc kết hợp, Reset, sắp xếp.</x:v>
      </x:c>
      <x:c r="E6" s="3" t="str">
        <x:v>Phân vùng tương đương
Bảng quyết định
Chuyển trạng thái</x:v>
      </x:c>
      <x:c r="F6" s="3" t="str">
        <x:v>TD_PIM_EMP_05
TC_PIM_EMP_020, TC_PIM_EMP_021, TC_PIM_EMP_022, TC_PIM_EMP_023, TC_PIM_EMP_024, TC_PIM_EMP_025</x:v>
      </x:c>
      <x:c r="G6" s="3"/>
      <x:c r="H6" s="3"/>
    </x:row>
    <x:row r="7" ht="78" customHeight="1">
      <x:c r="A7" s="3" t="str">
        <x:v>PIM_PERSONAL</x:v>
      </x:c>
      <x:c r="B7" s="3" t="str">
        <x:v>Personal Details và Attachments</x:v>
      </x:c>
      <x:c r="C7" s="3" t="str">
        <x:v>Thông tin cá nhân</x:v>
      </x:c>
      <x:c r="D7" s="3" t="str">
        <x:v>Tên, nationality, marital status và gender lưu đúng sau tải lại.</x:v>
      </x:c>
      <x:c r="E7" s="3" t="str">
        <x:v>Phân vùng tương đương</x:v>
      </x:c>
      <x:c r="F7" s="3" t="str">
        <x:v>TD_PIM_PERSONAL_01
TC_PIM_PERSONAL_001, TC_PIM_PERSONAL_018, TC_PIM_PERSONAL_019, TC_PIM_PERSONAL_020</x:v>
      </x:c>
      <x:c r="G7" s="3"/>
      <x:c r="H7" s="3"/>
    </x:row>
    <x:row r="8" ht="102" customHeight="1">
      <x:c r="A8" s="3" t="str">
        <x:v>PIM_PERSONAL</x:v>
      </x:c>
      <x:c r="B8" s="3" t="str">
        <x:v>Personal Details và Attachments</x:v>
      </x:c>
      <x:c r="C8" s="3" t="str">
        <x:v>Validation tên</x:v>
      </x:c>
      <x:c r="D8" s="3" t="str">
        <x:v>Trường bắt buộc và độ dài tên.</x:v>
      </x:c>
      <x:c r="E8" s="3" t="str">
        <x:v>Phân vùng tương đương
Phân tích giá trị biên</x:v>
      </x:c>
      <x:c r="F8" s="3" t="str">
        <x:v>TD_PIM_PERSONAL_02
TC_PIM_PERSONAL_002, TC_PIM_PERSONAL_003, TC_PIM_PERSONAL_004, TC_PIM_PERSONAL_005, TC_PIM_PERSONAL_006, TC_PIM_PERSONAL_007</x:v>
      </x:c>
      <x:c r="G8" s="3"/>
      <x:c r="H8" s="3"/>
    </x:row>
    <x:row r="9" ht="102" customHeight="1">
      <x:c r="A9" s="3" t="str">
        <x:v>PIM_PERSONAL</x:v>
      </x:c>
      <x:c r="B9" s="3" t="str">
        <x:v>Personal Details và Attachments</x:v>
      </x:c>
      <x:c r="C9" s="3" t="str">
        <x:v>Mã và giấy phép</x:v>
      </x:c>
      <x:c r="D9" s="3" t="str">
        <x:v>Employee Id 10/11; Other Id và License Number 30/31.</x:v>
      </x:c>
      <x:c r="E9" s="3" t="str">
        <x:v>Phân tích giá trị biên</x:v>
      </x:c>
      <x:c r="F9" s="3" t="str">
        <x:v>TD_PIM_PERSONAL_03
TC_PIM_PERSONAL_008, TC_PIM_PERSONAL_009, TC_PIM_PERSONAL_010, TC_PIM_PERSONAL_011, TC_PIM_PERSONAL_012, TC_PIM_PERSONAL_013</x:v>
      </x:c>
      <x:c r="G9" s="3"/>
      <x:c r="H9" s="3"/>
    </x:row>
    <x:row r="10" ht="78" customHeight="1">
      <x:c r="A10" s="3" t="str">
        <x:v>PIM_PERSONAL</x:v>
      </x:c>
      <x:c r="B10" s="3" t="str">
        <x:v>Personal Details và Attachments</x:v>
      </x:c>
      <x:c r="C10" s="3" t="str">
        <x:v>Ngày</x:v>
      </x:c>
      <x:c r="D10" s="3" t="str">
        <x:v>Ngày nhuận hợp lệ và ngày không tồn tại cho DOB/License Expiry.</x:v>
      </x:c>
      <x:c r="E10" s="3" t="str">
        <x:v>Phân vùng tương đương</x:v>
      </x:c>
      <x:c r="F10" s="3" t="str">
        <x:v>TD_PIM_PERSONAL_04
TC_PIM_PERSONAL_014, TC_PIM_PERSONAL_015, TC_PIM_PERSONAL_016, TC_PIM_PERSONAL_017</x:v>
      </x:c>
      <x:c r="G10" s="3"/>
      <x:c r="H10" s="3"/>
    </x:row>
    <x:row r="11" ht="90" customHeight="1">
      <x:c r="A11" s="3" t="str">
        <x:v>PIM_PERSONAL</x:v>
      </x:c>
      <x:c r="B11" s="3" t="str">
        <x:v>Personal Details và Attachments</x:v>
      </x:c>
      <x:c r="C11" s="3" t="str">
        <x:v>Attachments</x:v>
      </x:c>
      <x:c r="D11" s="3" t="str">
        <x:v>Thêm tệp, bắt buộc file, mô tả 200/201, hủy và xác nhận xóa.</x:v>
      </x:c>
      <x:c r="E11" s="3" t="str">
        <x:v>Chuyển trạng thái
Phân vùng tương đương
Phân tích giá trị biên</x:v>
      </x:c>
      <x:c r="F11" s="3" t="str">
        <x:v>TD_PIM_PERSONAL_05
TC_PIM_PERSONAL_021, TC_PIM_PERSONAL_022, TC_PIM_PERSONAL_023, TC_PIM_PERSONAL_024, TC_PIM_PERSONAL_025</x:v>
      </x:c>
      <x:c r="G11" s="3"/>
      <x:c r="H11" s="3"/>
    </x:row>
    <x:row r="12" ht="74" customHeight="1">
      <x:c r="A12" s="3" t="str">
        <x:v>PIM_JOB</x:v>
      </x:c>
      <x:c r="B12" s="3" t="str">
        <x:v>Job Details và Employment Contract</x:v>
      </x:c>
      <x:c r="C12" s="3" t="str">
        <x:v>Joined Date</x:v>
      </x:c>
      <x:c r="D12" s="3" t="str">
        <x:v>Ngày hợp lệ, ngày không tồn tại và để trống tùy chọn.</x:v>
      </x:c>
      <x:c r="E12" s="3" t="str">
        <x:v>Phân vùng tương đương</x:v>
      </x:c>
      <x:c r="F12" s="3" t="str">
        <x:v>TD_PIM_JOB_01
TC_PIM_JOB_001, TC_PIM_JOB_002, TC_PIM_JOB_009</x:v>
      </x:c>
      <x:c r="G12" s="3"/>
      <x:c r="H12" s="3"/>
    </x:row>
    <x:row r="13" ht="102" customHeight="1">
      <x:c r="A13" s="3" t="str">
        <x:v>PIM_JOB</x:v>
      </x:c>
      <x:c r="B13" s="3" t="str">
        <x:v>Job Details và Employment Contract</x:v>
      </x:c>
      <x:c r="C13" s="3" t="str">
        <x:v>Danh mục công việc</x:v>
      </x:c>
      <x:c r="D13" s="3" t="str">
        <x:v>Đổi từng danh mục và lưu đồng thời 5 danh mục với Joined Date.</x:v>
      </x:c>
      <x:c r="E13" s="3" t="str">
        <x:v>Phân vùng tương đương
Bảng quyết định</x:v>
      </x:c>
      <x:c r="F13" s="3" t="str">
        <x:v>TD_PIM_JOB_02
TC_PIM_JOB_003, TC_PIM_JOB_004, TC_PIM_JOB_005, TC_PIM_JOB_006, TC_PIM_JOB_007, TC_PIM_JOB_008</x:v>
      </x:c>
      <x:c r="G13" s="3"/>
      <x:c r="H13" s="3"/>
    </x:row>
    <x:row r="14" ht="74" customHeight="1">
      <x:c r="A14" s="3" t="str">
        <x:v>PIM_JOB</x:v>
      </x:c>
      <x:c r="B14" s="3" t="str">
        <x:v>Job Details và Employment Contract</x:v>
      </x:c>
      <x:c r="C14" s="3" t="str">
        <x:v>Hiển thị hợp đồng</x:v>
      </x:c>
      <x:c r="D14" s="3" t="str">
        <x:v>Bật/tắt phần mở rộng không ngầm xóa hợp đồng.</x:v>
      </x:c>
      <x:c r="E14" s="3" t="str">
        <x:v>Phân vùng tương đương
Chuyển trạng thái</x:v>
      </x:c>
      <x:c r="F14" s="3" t="str">
        <x:v>TD_PIM_JOB_03
TC_PIM_JOB_010, TC_PIM_JOB_011</x:v>
      </x:c>
      <x:c r="G14" s="3"/>
      <x:c r="H14" s="3"/>
    </x:row>
    <x:row r="15" ht="90" customHeight="1">
      <x:c r="A15" s="3" t="str">
        <x:v>PIM_JOB</x:v>
      </x:c>
      <x:c r="B15" s="3" t="str">
        <x:v>Job Details và Employment Contract</x:v>
      </x:c>
      <x:c r="C15" s="3" t="str">
        <x:v>Ngày hợp đồng</x:v>
      </x:c>
      <x:c r="D15" s="3" t="str">
        <x:v>End sau/bằng/trước Start; kiểm tra ngày không tồn tại.</x:v>
      </x:c>
      <x:c r="E15" s="3" t="str">
        <x:v>Bảng quyết định
Phân tích giá trị biên
Phân vùng tương đương</x:v>
      </x:c>
      <x:c r="F15" s="3" t="str">
        <x:v>TD_PIM_JOB_04
TC_PIM_JOB_012, TC_PIM_JOB_013, TC_PIM_JOB_014, TC_PIM_JOB_015, TC_PIM_JOB_016</x:v>
      </x:c>
      <x:c r="G15" s="3"/>
      <x:c r="H15" s="3"/>
    </x:row>
    <x:row r="16" ht="138" customHeight="1">
      <x:c r="A16" s="3" t="str">
        <x:v>PIM_JOB</x:v>
      </x:c>
      <x:c r="B16" s="3" t="str">
        <x:v>Job Details và Employment Contract</x:v>
      </x:c>
      <x:c r="C16" s="3" t="str">
        <x:v>Tệp hợp đồng và Job attachments</x:v>
      </x:c>
      <x:c r="D16" s="3" t="str">
        <x:v>Upload, giới hạn loại/dung lượng, keep/replace/delete và hủy thêm attachment.</x:v>
      </x:c>
      <x:c r="E16" s="3" t="str">
        <x:v>Chuyển trạng thái
Phân tích giá trị biên
Phân vùng tương đương
Bảng quyết định</x:v>
      </x:c>
      <x:c r="F16" s="3" t="str">
        <x:v>TD_PIM_JOB_05
TC_PIM_JOB_017, TC_PIM_JOB_018, TC_PIM_JOB_019, TC_PIM_JOB_020, TC_PIM_JOB_021, TC_PIM_JOB_022, TC_PIM_JOB_023, TC_PIM_JOB_024, TC_PIM_JOB_025</x:v>
      </x:c>
      <x:c r="G16" s="3"/>
      <x:c r="H16" s="3"/>
    </x:row>
    <x:row r="17">
      <x:c r="A17" s="3"/>
      <x:c r="B17" s="3"/>
      <x:c r="C17" s="3"/>
      <x:c r="D17" s="3"/>
      <x:c r="E17" s="3"/>
      <x:c r="F17" s="3"/>
      <x:c r="G17" s="3"/>
      <x:c r="H17" s="3"/>
    </x:row>
  </x:sheetData>
  <x:pageMargins left="0.7" right="0.7" top="0.75" bottom="0.75" header="0.3" footer="0.3"/>
</x:worksheet>
</file>

<file path=xl/worksheets/sheet4.xml><?xml version="1.0" encoding="utf-8"?>
<x:worksheet xmlns:x="http://schemas.openxmlformats.org/spreadsheetml/2006/main">
  <x:sheetPr>
    <x:tabColor rgb="FF1F4E78"/>
  </x:sheetPr>
  <x:sheetViews>
    <x:sheetView showGridLines="0" workbookViewId="0">
      <x:pane xSplit="1" ySplit="8" topLeftCell="B9" activePane="bottomRight" state="frozen"/>
    </x:sheetView>
  </x:sheetViews>
  <x:sheetFormatPr defaultRowHeight="15"/>
  <x:cols>
    <x:col min="1" max="1" width="25" hidden="0" customWidth="1"/>
    <x:col min="2" max="2" width="36" hidden="0" customWidth="1"/>
    <x:col min="3" max="3" width="72" hidden="0" customWidth="1"/>
    <x:col min="4" max="4" width="65" hidden="0" customWidth="1"/>
    <x:col min="5" max="5" width="24" hidden="0" customWidth="1"/>
    <x:col min="6" max="6" width="14" hidden="0" customWidth="1"/>
    <x:col min="7" max="7" width="15" hidden="0" customWidth="1"/>
    <x:col min="8" max="8" width="40" hidden="0" customWidth="1"/>
  </x:cols>
  <x:sheetData>
    <x:row r="1">
      <x:c r="A1" s="3"/>
      <x:c r="B1" s="3"/>
      <x:c r="C1" s="3"/>
      <x:c r="D1" s="3"/>
      <x:c r="E1" s="3"/>
      <x:c r="F1" s="3"/>
      <x:c r="G1" s="3"/>
      <x:c r="H1" s="3"/>
    </x:row>
    <x:row r="2">
      <x:c r="A2" s="7" t="str">
        <x:v>Module Code</x:v>
      </x:c>
      <x:c r="B2" s="3" t="str">
        <x:v>PIM_EMP</x:v>
      </x:c>
      <x:c r="C2" s="3"/>
      <x:c r="D2" s="3"/>
      <x:c r="E2" s="3"/>
      <x:c r="F2" s="3"/>
      <x:c r="G2" s="3"/>
      <x:c r="H2" s="3"/>
    </x:row>
    <x:row r="3">
      <x:c r="A3" s="7" t="str">
        <x:v>Test requirement</x:v>
      </x:c>
      <x:c r="B3" s="3" t="str">
        <x:v>Employee List và Add Employee</x:v>
      </x:c>
      <x:c r="C3" s="3"/>
      <x:c r="D3" s="3"/>
      <x:c r="E3" s="3"/>
      <x:c r="F3" s="3"/>
      <x:c r="G3" s="3"/>
      <x:c r="H3" s="3"/>
    </x:row>
    <x:row r="4">
      <x:c r="A4" s="7" t="str">
        <x:v>Tester</x:v>
      </x:c>
      <x:c r="B4" s="3" t="str">
        <x:v>Võ Minh Nhựt – 23130226</x:v>
      </x:c>
      <x:c r="C4" s="3"/>
      <x:c r="D4" s="3"/>
      <x:c r="E4" s="3"/>
      <x:c r="F4" s="3"/>
      <x:c r="G4" s="3"/>
      <x:c r="H4" s="3"/>
    </x:row>
    <x:row r="5" ht="24" customHeight="1">
      <x:c r="A5" s="16" t="str">
        <x:v>Passed</x:v>
      </x:c>
      <x:c r="B5" s="16" t="str">
        <x:v>Failed</x:v>
      </x:c>
      <x:c r="C5" s="16" t="str">
        <x:v>Untested</x:v>
      </x:c>
      <x:c r="D5" s="16" t="str">
        <x:v>Blocked</x:v>
      </x:c>
      <x:c r="E5" s="16" t="str">
        <x:v>Skipped</x:v>
      </x:c>
      <x:c r="F5" s="16" t="str">
        <x:v>Number of Test cases</x:v>
      </x:c>
      <x:c r="G5" s="16"/>
      <x:c r="H5" s="16"/>
    </x:row>
    <x:row r="6" ht="24" customHeight="1">
      <x:c r="A6" s="17" t="n">
        <x:f>COUNTIF($F$9:$F$33,"Passed")</x:f>
        <x:v>0</x:v>
      </x:c>
      <x:c r="B6" s="17" t="n">
        <x:f>COUNTIF($F$9:$F$33,"Failed")</x:f>
        <x:v>0</x:v>
      </x:c>
      <x:c r="C6" s="17" t="n">
        <x:f>COUNTIF($F$9:$F$33,"Untested")</x:f>
        <x:v>25</x:v>
      </x:c>
      <x:c r="D6" s="17" t="n">
        <x:f>COUNTIF($F$9:$F$33,"Blocked")</x:f>
        <x:v>0</x:v>
      </x:c>
      <x:c r="E6" s="17" t="n">
        <x:f>COUNTIF($F$9:$F$33,"Skipped")</x:f>
        <x:v>0</x:v>
      </x:c>
      <x:c r="F6" s="17" t="n">
        <x:f>COUNTA(A9:A33)</x:f>
        <x:v>25</x:v>
      </x:c>
      <x:c r="G6" s="17"/>
      <x:c r="H6" s="17"/>
    </x:row>
    <x:row r="7">
      <x:c r="A7" s="3"/>
      <x:c r="B7" s="3"/>
      <x:c r="C7" s="3"/>
      <x:c r="D7" s="3"/>
      <x:c r="E7" s="3"/>
      <x:c r="F7" s="3"/>
      <x:c r="G7" s="3"/>
      <x:c r="H7" s="3"/>
    </x:row>
    <x:row r="8" ht="34" customHeight="1">
      <x:c r="A8" s="13" t="str">
        <x:v>ID</x:v>
      </x:c>
      <x:c r="B8" s="13" t="str">
        <x:v>Test Case Description</x:v>
      </x:c>
      <x:c r="C8" s="13" t="str">
        <x:v>Test Case Procedure</x:v>
      </x:c>
      <x:c r="D8" s="13" t="str">
        <x:v>Expected Output</x:v>
      </x:c>
      <x:c r="E8" s="13" t="str">
        <x:v>Inter-test case Dependence</x:v>
      </x:c>
      <x:c r="F8" s="13" t="str">
        <x:v>Result</x:v>
      </x:c>
      <x:c r="G8" s="13" t="str">
        <x:v>Test date</x:v>
      </x:c>
      <x:c r="H8" s="13" t="str">
        <x:v>Note</x:v>
      </x:c>
    </x:row>
    <x:row r="9" ht="140" customHeight="1">
      <x:c r="A9" s="18" t="str">
        <x:v>TC_PIM_EMP_001</x:v>
      </x:c>
      <x:c r="B9" s="18" t="str">
        <x:v>Tạo nhân viên với các trường bắt buộc</x:v>
      </x:c>
      <x:c r="C9" s="18" t="str">
        <x:v>Tiền điều kiện: Admin đã đăng nhập. Bộ fixture F_DUP và F_FILTER đã chuẩn bị.
Input: First=G01N01; Middle để trống; Last=NhutA001; ID=G1N01A0001
1. Vào PIM &gt; Add Employee.
2. Nhập dữ liệu. Giữ Create Login Details tắt.
3. Save. Ghi employee key trên URL.
4. Về Employee List, tìm đúng Employee Id.
Kết thúc: khôi phục fixture theo Test Data.</x:v>
      </x:c>
      <x:c r="D9" s="18" t="str">
        <x:v>Mở hồ sơ nhân viên vừa tạo. Danh sách có đúng nhân viên G01N01 NhutA001 với ID đã nhập.</x:v>
      </x:c>
      <x:c r="E9" s="18" t="str">
        <x:v>Không phụ thuộc TC khác; dùng fixture setup.</x:v>
      </x:c>
      <x:c r="F9" s="19" t="str">
        <x:v>Untested</x:v>
      </x:c>
      <x:c r="G9" s="20"/>
      <x:c r="H9" s="18" t="str">
        <x:v>TD_PIM_EMP_01
Positive; Phân vùng tương đương
Automation: P1</x:v>
      </x:c>
    </x:row>
    <x:row r="10" ht="140" customHeight="1">
      <x:c r="A10" s="21" t="str">
        <x:v>TC_PIM_EMP_002</x:v>
      </x:c>
      <x:c r="B10" s="21" t="str">
        <x:v>Tạo nhân viên có đủ họ, tên đệm và tên</x:v>
      </x:c>
      <x:c r="C10" s="21" t="str">
        <x:v>Tiền điều kiện: Admin đã đăng nhập. Bộ fixture F_DUP và F_FILTER đã chuẩn bị.
Input: First=G01N01; Middle=Minh; Last=NhutA002; ID=G1N01A0002
1. Mở Add Employee.
2. Nhập đủ ba thành phần tên và ID.
3. Save. Mở lại Personal Details theo employee key.
Kết thúc: khôi phục fixture theo Test Data.</x:v>
      </x:c>
      <x:c r="D10" s="21" t="str">
        <x:v>Ba ô tên giữ đúng G01N01, Minh, NhutA002 sau tải lại. ID đúng G1N01A0002.</x:v>
      </x:c>
      <x:c r="E10" s="21" t="str">
        <x:v>Không phụ thuộc TC khác; dùng fixture setup.</x:v>
      </x:c>
      <x:c r="F10" s="19" t="str">
        <x:v>Untested</x:v>
      </x:c>
      <x:c r="G10" s="20"/>
      <x:c r="H10" s="18" t="str">
        <x:v>TD_PIM_EMP_01
Positive; Phân vùng tương đương
Automation: P1</x:v>
      </x:c>
    </x:row>
    <x:row r="11" ht="140" customHeight="1">
      <x:c r="A11" s="18" t="str">
        <x:v>TC_PIM_EMP_003</x:v>
      </x:c>
      <x:c r="B11" s="18" t="str">
        <x:v>Bỏ trống First Name</x:v>
      </x:c>
      <x:c r="C11" s="18" t="str">
        <x:v>Tiền điều kiện: Admin đã đăng nhập. Bộ fixture F_DUP và F_FILTER đã chuẩn bị.
Input: First rỗng; Last=NhutA003; ID=G1N01A0003
1. Mở Add Employee.
2. Xóa First Name, nhập Last và ID.
3. Save.
Kết thúc: khôi phục fixture theo Test Data.</x:v>
      </x:c>
      <x:c r="D11" s="18" t="str">
        <x:v>First Name hiển thị Required. Không chuyển sang hồ sơ mới và không tạo nhân viên.</x:v>
      </x:c>
      <x:c r="E11" s="18" t="str">
        <x:v>Không phụ thuộc TC khác; dùng fixture setup.</x:v>
      </x:c>
      <x:c r="F11" s="19" t="str">
        <x:v>Untested</x:v>
      </x:c>
      <x:c r="G11" s="20"/>
      <x:c r="H11" s="18" t="str">
        <x:v>TD_PIM_EMP_02
Negative; Phân vùng tương đương
Automation: P1</x:v>
      </x:c>
    </x:row>
    <x:row r="12" ht="140" customHeight="1">
      <x:c r="A12" s="21" t="str">
        <x:v>TC_PIM_EMP_004</x:v>
      </x:c>
      <x:c r="B12" s="21" t="str">
        <x:v>Bỏ trống Last Name</x:v>
      </x:c>
      <x:c r="C12" s="21" t="str">
        <x:v>Tiền điều kiện: Admin đã đăng nhập. Bộ fixture F_DUP và F_FILTER đã chuẩn bị.
Input: First=G01N01; Last rỗng; ID=G1N01A0004
1. Mở Add Employee.
2. Nhập First và ID, để Last trống.
3. Save.
Kết thúc: khôi phục fixture theo Test Data.</x:v>
      </x:c>
      <x:c r="D12" s="21" t="str">
        <x:v>Last Name hiển thị Required. Không tạo nhân viên.</x:v>
      </x:c>
      <x:c r="E12" s="21" t="str">
        <x:v>Không phụ thuộc TC khác; dùng fixture setup.</x:v>
      </x:c>
      <x:c r="F12" s="19" t="str">
        <x:v>Untested</x:v>
      </x:c>
      <x:c r="G12" s="20"/>
      <x:c r="H12" s="18" t="str">
        <x:v>TD_PIM_EMP_02
Negative; Phân vùng tương đương
Automation: P1</x:v>
      </x:c>
    </x:row>
    <x:row r="13" ht="140" customHeight="1">
      <x:c r="A13" s="18" t="str">
        <x:v>TC_PIM_EMP_005</x:v>
      </x:c>
      <x:c r="B13" s="18" t="str">
        <x:v>First Name chỉ có dấu cách</x:v>
      </x:c>
      <x:c r="C13" s="18" t="str">
        <x:v>Tiền điều kiện: Admin đã đăng nhập. Bộ fixture F_DUP và F_FILTER đã chuẩn bị.
Input: First="   " (3 dấu cách); Last=NhutA005; ID=G1N01A0005
1. Mở Add Employee.
2. Nhập đúng ba dấu cách vào First, nhập Last và ID.
3. Save.
Kết thúc: khôi phục fixture theo Test Data.</x:v>
      </x:c>
      <x:c r="D13" s="18" t="str">
        <x:v>First Name bị từ chối do chỉ có khoảng trắng. Không tạo nhân viên.</x:v>
      </x:c>
      <x:c r="E13" s="18" t="str">
        <x:v>Không phụ thuộc TC khác; dùng fixture setup.</x:v>
      </x:c>
      <x:c r="F13" s="19" t="str">
        <x:v>Untested</x:v>
      </x:c>
      <x:c r="G13" s="20"/>
      <x:c r="H13" s="18" t="str">
        <x:v>TD_PIM_EMP_02
Negative; Phân vùng tương đương
Automation: P1</x:v>
      </x:c>
    </x:row>
    <x:row r="14" ht="142" customHeight="1">
      <x:c r="A14" s="21" t="str">
        <x:v>TC_PIM_EMP_006</x:v>
      </x:c>
      <x:c r="B14" s="21" t="str">
        <x:v>First Name dài 30 ký tự</x:v>
      </x:c>
      <x:c r="C14" s="21" t="str">
        <x:v>Tiền điều kiện: Admin đã đăng nhập. Bộ fixture F_DUP và F_FILTER đã chuẩn bị.
Input: First=AAAAAAAAAAAAAAAAAAAAAAAAAAAAAA (30 ký tự); các tên còn lại hợp lệ; ID=G1N01A0006
1. Mở Add Employee.
2. Nhập chuỗi đúng độ dài trong Test Data, điền các trường còn lại hợp lệ.
3. Save. Với dữ liệu hợp lệ, mở lại hồ sơ.
Kết thúc: khôi phục fixture theo Test Data.</x:v>
      </x:c>
      <x:c r="D14" s="21" t="str">
        <x:v>First Name được lưu nguyên đủ 30 ký tự. Tạo đúng một nhân viên.</x:v>
      </x:c>
      <x:c r="E14" s="21" t="str">
        <x:v>Không phụ thuộc TC khác; dùng fixture setup.</x:v>
      </x:c>
      <x:c r="F14" s="19" t="str">
        <x:v>Untested</x:v>
      </x:c>
      <x:c r="G14" s="20"/>
      <x:c r="H14" s="18" t="str">
        <x:v>TD_PIM_EMP_02
Positive; Phân tích giá trị biên
Automation: P1</x:v>
      </x:c>
    </x:row>
    <x:row r="15" ht="142" customHeight="1">
      <x:c r="A15" s="18" t="str">
        <x:v>TC_PIM_EMP_007</x:v>
      </x:c>
      <x:c r="B15" s="18" t="str">
        <x:v>First Name dài 31 ký tự</x:v>
      </x:c>
      <x:c r="C15" s="18" t="str">
        <x:v>Tiền điều kiện: Admin đã đăng nhập. Bộ fixture F_DUP và F_FILTER đã chuẩn bị.
Input: First=AAAAAAAAAAAAAAAAAAAAAAAAAAAAAAA (31 ký tự); các tên còn lại hợp lệ; ID=G1N01A0007
1. Mở Add Employee.
2. Nhập chuỗi đúng độ dài trong Test Data, điền các trường còn lại hợp lệ.
3. Save. Với dữ liệu hợp lệ, mở lại hồ sơ.
Kết thúc: khôi phục fixture theo Test Data.</x:v>
      </x:c>
      <x:c r="D15" s="18" t="str">
        <x:v>Có lỗi giới hạn 30 ký tự tại First Name. Không lưu giá trị 31 ký tự. Nếu UI chặn ký tự thứ 31, xác nhận maxlength và không coi là đã lưu chuỗi 31 ký tự.</x:v>
      </x:c>
      <x:c r="E15" s="18" t="str">
        <x:v>Không phụ thuộc TC khác; dùng fixture setup.</x:v>
      </x:c>
      <x:c r="F15" s="19" t="str">
        <x:v>Untested</x:v>
      </x:c>
      <x:c r="G15" s="20"/>
      <x:c r="H15" s="18" t="str">
        <x:v>TD_PIM_EMP_02
Negative; Phân tích giá trị biên
Automation: P1</x:v>
      </x:c>
    </x:row>
    <x:row r="16" ht="142" customHeight="1">
      <x:c r="A16" s="21" t="str">
        <x:v>TC_PIM_EMP_008</x:v>
      </x:c>
      <x:c r="B16" s="21" t="str">
        <x:v>Last Name dài 30 ký tự</x:v>
      </x:c>
      <x:c r="C16" s="21" t="str">
        <x:v>Tiền điều kiện: Admin đã đăng nhập. Bộ fixture F_DUP và F_FILTER đã chuẩn bị.
Input: Last=AAAAAAAAAAAAAAAAAAAAAAAAAAAAAA (30 ký tự); các tên còn lại hợp lệ; ID=G1N01A0008
1. Mở Add Employee.
2. Nhập chuỗi đúng độ dài trong Test Data, điền các trường còn lại hợp lệ.
3. Save. Với dữ liệu hợp lệ, mở lại hồ sơ.
Kết thúc: khôi phục fixture theo Test Data.</x:v>
      </x:c>
      <x:c r="D16" s="21" t="str">
        <x:v>Last Name được lưu nguyên đủ 30 ký tự. Tạo đúng một nhân viên.</x:v>
      </x:c>
      <x:c r="E16" s="21" t="str">
        <x:v>Không phụ thuộc TC khác; dùng fixture setup.</x:v>
      </x:c>
      <x:c r="F16" s="19" t="str">
        <x:v>Untested</x:v>
      </x:c>
      <x:c r="G16" s="20"/>
      <x:c r="H16" s="18" t="str">
        <x:v>TD_PIM_EMP_02
Positive; Phân tích giá trị biên
Automation: P1</x:v>
      </x:c>
    </x:row>
    <x:row r="17" ht="142" customHeight="1">
      <x:c r="A17" s="18" t="str">
        <x:v>TC_PIM_EMP_009</x:v>
      </x:c>
      <x:c r="B17" s="18" t="str">
        <x:v>Last Name dài 31 ký tự</x:v>
      </x:c>
      <x:c r="C17" s="18" t="str">
        <x:v>Tiền điều kiện: Admin đã đăng nhập. Bộ fixture F_DUP và F_FILTER đã chuẩn bị.
Input: Last=AAAAAAAAAAAAAAAAAAAAAAAAAAAAAAA (31 ký tự); các tên còn lại hợp lệ; ID=G1N01A0009
1. Mở Add Employee.
2. Nhập chuỗi đúng độ dài trong Test Data, điền các trường còn lại hợp lệ.
3. Save. Với dữ liệu hợp lệ, mở lại hồ sơ.
Kết thúc: khôi phục fixture theo Test Data.</x:v>
      </x:c>
      <x:c r="D17" s="18" t="str">
        <x:v>Có lỗi giới hạn 30 ký tự tại Last Name. Không lưu giá trị 31 ký tự. Nếu UI chặn ký tự thứ 31, xác nhận maxlength và không coi là đã lưu chuỗi 31 ký tự.</x:v>
      </x:c>
      <x:c r="E17" s="18" t="str">
        <x:v>Không phụ thuộc TC khác; dùng fixture setup.</x:v>
      </x:c>
      <x:c r="F17" s="19" t="str">
        <x:v>Untested</x:v>
      </x:c>
      <x:c r="G17" s="20"/>
      <x:c r="H17" s="18" t="str">
        <x:v>TD_PIM_EMP_02
Negative; Phân tích giá trị biên
Automation: P1</x:v>
      </x:c>
    </x:row>
    <x:row r="18" ht="142" customHeight="1">
      <x:c r="A18" s="21" t="str">
        <x:v>TC_PIM_EMP_010</x:v>
      </x:c>
      <x:c r="B18" s="21" t="str">
        <x:v>Middle Name dài 30 ký tự</x:v>
      </x:c>
      <x:c r="C18" s="21" t="str">
        <x:v>Tiền điều kiện: Admin đã đăng nhập. Bộ fixture F_DUP và F_FILTER đã chuẩn bị.
Input: Middle=AAAAAAAAAAAAAAAAAAAAAAAAAAAAAA (30 ký tự); các tên còn lại hợp lệ; ID=G1N01A0010
1. Mở Add Employee.
2. Nhập chuỗi đúng độ dài trong Test Data, điền các trường còn lại hợp lệ.
3. Save. Với dữ liệu hợp lệ, mở lại hồ sơ.
Kết thúc: khôi phục fixture theo Test Data.</x:v>
      </x:c>
      <x:c r="D18" s="21" t="str">
        <x:v>Middle Name được lưu nguyên đủ 30 ký tự. Tạo đúng một nhân viên.</x:v>
      </x:c>
      <x:c r="E18" s="21" t="str">
        <x:v>Không phụ thuộc TC khác; dùng fixture setup.</x:v>
      </x:c>
      <x:c r="F18" s="19" t="str">
        <x:v>Untested</x:v>
      </x:c>
      <x:c r="G18" s="20"/>
      <x:c r="H18" s="18" t="str">
        <x:v>TD_PIM_EMP_02
Positive; Phân tích giá trị biên
Automation: P1</x:v>
      </x:c>
    </x:row>
    <x:row r="19" ht="142" customHeight="1">
      <x:c r="A19" s="18" t="str">
        <x:v>TC_PIM_EMP_011</x:v>
      </x:c>
      <x:c r="B19" s="18" t="str">
        <x:v>Middle Name dài 31 ký tự</x:v>
      </x:c>
      <x:c r="C19" s="18" t="str">
        <x:v>Tiền điều kiện: Admin đã đăng nhập. Bộ fixture F_DUP và F_FILTER đã chuẩn bị.
Input: Middle=AAAAAAAAAAAAAAAAAAAAAAAAAAAAAAA (31 ký tự); các tên còn lại hợp lệ; ID=G1N01A0011
1. Mở Add Employee.
2. Nhập chuỗi đúng độ dài trong Test Data, điền các trường còn lại hợp lệ.
3. Save. Với dữ liệu hợp lệ, mở lại hồ sơ.
Kết thúc: khôi phục fixture theo Test Data.</x:v>
      </x:c>
      <x:c r="D19" s="18" t="str">
        <x:v>Có lỗi giới hạn 30 ký tự tại Middle Name. Không lưu giá trị 31 ký tự. Nếu UI chặn ký tự thứ 31, xác nhận maxlength và không coi là đã lưu chuỗi 31 ký tự.</x:v>
      </x:c>
      <x:c r="E19" s="18" t="str">
        <x:v>Không phụ thuộc TC khác; dùng fixture setup.</x:v>
      </x:c>
      <x:c r="F19" s="19" t="str">
        <x:v>Untested</x:v>
      </x:c>
      <x:c r="G19" s="20"/>
      <x:c r="H19" s="18" t="str">
        <x:v>TD_PIM_EMP_02
Negative; Phân tích giá trị biên
Automation: P1</x:v>
      </x:c>
    </x:row>
    <x:row r="20" ht="140" customHeight="1">
      <x:c r="A20" s="21" t="str">
        <x:v>TC_PIM_EMP_012</x:v>
      </x:c>
      <x:c r="B20" s="21" t="str">
        <x:v>Employee Id đúng giới hạn 10 ký tự</x:v>
      </x:c>
      <x:c r="C20" s="21" t="str">
        <x:v>Tiền điều kiện: Admin đã đăng nhập. Bộ fixture F_DUP và F_FILTER đã chuẩn bị.
Input: ID=G1N01A0012 (10 ký tự, chưa tồn tại); First=G01N01; Last=NhutA012
1. Mở Add Employee.
2. Nhập tên và ID 10 ký tự.
3. Save. Mở lại hồ sơ.
Kết thúc: khôi phục fixture theo Test Data.</x:v>
      </x:c>
      <x:c r="D20" s="21" t="str">
        <x:v>ID giữ nguyên G1N01A0012, không cắt ngắn hoặc đổi.</x:v>
      </x:c>
      <x:c r="E20" s="21" t="str">
        <x:v>Không phụ thuộc TC khác; dùng fixture setup.</x:v>
      </x:c>
      <x:c r="F20" s="19" t="str">
        <x:v>Untested</x:v>
      </x:c>
      <x:c r="G20" s="20"/>
      <x:c r="H20" s="18" t="str">
        <x:v>TD_PIM_EMP_03
Positive; Phân tích giá trị biên
Automation: P1</x:v>
      </x:c>
    </x:row>
    <x:row r="21" ht="140" customHeight="1">
      <x:c r="A21" s="18" t="str">
        <x:v>TC_PIM_EMP_013</x:v>
      </x:c>
      <x:c r="B21" s="18" t="str">
        <x:v>Employee Id vượt giới hạn 10 ký tự</x:v>
      </x:c>
      <x:c r="C21" s="18" t="str">
        <x:v>Tiền điều kiện: Admin đã đăng nhập. Bộ fixture F_DUP và F_FILTER đã chuẩn bị.
Input: ID=G1N01A0013X (11 ký tự); tên hợp lệ
1. Mở Add Employee.
2. Nhập ID 11 ký tự và tên hợp lệ.
3. Save.
Kết thúc: khôi phục fixture theo Test Data.</x:v>
      </x:c>
      <x:c r="D21" s="18" t="str">
        <x:v>Có lỗi giới hạn 10 ký tự. Không lưu ID 11 ký tự. Nếu UI giới hạn nhập, ghi rõ giá trị thực nhập.</x:v>
      </x:c>
      <x:c r="E21" s="18" t="str">
        <x:v>Không phụ thuộc TC khác; dùng fixture setup.</x:v>
      </x:c>
      <x:c r="F21" s="19" t="str">
        <x:v>Untested</x:v>
      </x:c>
      <x:c r="G21" s="20"/>
      <x:c r="H21" s="18" t="str">
        <x:v>TD_PIM_EMP_03
Negative; Phân tích giá trị biên
Automation: P1</x:v>
      </x:c>
    </x:row>
    <x:row r="22" ht="140" customHeight="1">
      <x:c r="A22" s="21" t="str">
        <x:v>TC_PIM_EMP_014</x:v>
      </x:c>
      <x:c r="B22" s="21" t="str">
        <x:v>Employee Id trùng nhân viên hiện có</x:v>
      </x:c>
      <x:c r="C22" s="21" t="str">
        <x:v>Tiền điều kiện: Admin đã đăng nhập. Bộ fixture F_DUP và F_FILTER đã chuẩn bị.
Input: ID=G1N01D0001 của F_DUP; First=G01N01; Last=NhutDuplicate
1. Xác nhận F_DUP đã tồn tại.
2. Mở Add Employee, nhập ID trùng và tên khác.
3. Rời ô ID để kích hoạt kiểm tra, rồi Save.
Kết thúc: khôi phục fixture theo Test Data.</x:v>
      </x:c>
      <x:c r="D22" s="21" t="str">
        <x:v>Thông báo ID đã tồn tại. Không tạo thêm nhân viên sử dụng ID của F_DUP.</x:v>
      </x:c>
      <x:c r="E22" s="21" t="str">
        <x:v>Không phụ thuộc TC khác; dùng fixture setup.</x:v>
      </x:c>
      <x:c r="F22" s="19" t="str">
        <x:v>Untested</x:v>
      </x:c>
      <x:c r="G22" s="20"/>
      <x:c r="H22" s="18" t="str">
        <x:v>TD_PIM_EMP_03
Negative; Phân vùng tương đương
Automation: P1</x:v>
      </x:c>
    </x:row>
    <x:row r="23" ht="140" customHeight="1">
      <x:c r="A23" s="18" t="str">
        <x:v>TC_PIM_EMP_015</x:v>
      </x:c>
      <x:c r="B23" s="18" t="str">
        <x:v>Hủy tạo nhân viên chưa lưu</x:v>
      </x:c>
      <x:c r="C23" s="18" t="str">
        <x:v>Tiền điều kiện: Admin đã đăng nhập. Bộ fixture F_DUP và F_FILTER đã chuẩn bị.
Input: First=G01N01; Last=NhutCancel; ID=G1N01A0015
1. Mở Add Employee, điền dữ liệu nhưng không Save.
2. Bấm Cancel.
3. Tìm ID vừa nhập trong Employee List.
Kết thúc: khôi phục fixture theo Test Data.</x:v>
      </x:c>
      <x:c r="D23" s="18" t="str">
        <x:v>Quay về Employee List. Không có nhân viên mới với ID G1N01A0015.</x:v>
      </x:c>
      <x:c r="E23" s="18" t="str">
        <x:v>Không phụ thuộc TC khác; dùng fixture setup.</x:v>
      </x:c>
      <x:c r="F23" s="19" t="str">
        <x:v>Untested</x:v>
      </x:c>
      <x:c r="G23" s="20"/>
      <x:c r="H23" s="18" t="str">
        <x:v>TD_PIM_EMP_01
Positive; Phân vùng tương đương
Automation: P1</x:v>
      </x:c>
    </x:row>
    <x:row r="24" ht="140" customHeight="1">
      <x:c r="A24" s="21" t="str">
        <x:v>TC_PIM_EMP_016</x:v>
      </x:c>
      <x:c r="B24" s="21" t="str">
        <x:v>Tạo nhân viên kèm ảnh JPG hợp lệ</x:v>
      </x:c>
      <x:c r="C24" s="21" t="str">
        <x:v>Tiền điều kiện: Admin đã đăng nhập. Bộ fixture F_DUP và F_FILTER đã chuẩn bị.
Input: photo_valid.jpg, 200×200 px, &gt;0 và &lt;1 MiB; ID=G1N01A0016; tên hợp lệ
1. Mở Add Employee.
2. Chọn ảnh đúng định dạng; nhập tên và ID.
3. Save, mở lại hồ sơ.
Kết thúc: khôi phục fixture theo Test Data.</x:v>
      </x:c>
      <x:c r="D24" s="21" t="str">
        <x:v>Ảnh được chấp nhận, hồ sơ tạo thành công và hiển thị ảnh đã tải lên.</x:v>
      </x:c>
      <x:c r="E24" s="21" t="str">
        <x:v>Không phụ thuộc TC khác; dùng fixture setup.</x:v>
      </x:c>
      <x:c r="F24" s="19" t="str">
        <x:v>Untested</x:v>
      </x:c>
      <x:c r="G24" s="20"/>
      <x:c r="H24" s="18" t="str">
        <x:v>TD_PIM_EMP_04
Positive; Phân vùng tương đương
Automation: P2
File upload: xác nhận bằng UI và mở lại hồ sơ.</x:v>
      </x:c>
    </x:row>
    <x:row r="25" ht="140" customHeight="1">
      <x:c r="A25" s="18" t="str">
        <x:v>TC_PIM_EMP_017</x:v>
      </x:c>
      <x:c r="B25" s="18" t="str">
        <x:v>Tạo nhân viên kèm ảnh PNG hợp lệ</x:v>
      </x:c>
      <x:c r="C25" s="18" t="str">
        <x:v>Tiền điều kiện: Admin đã đăng nhập. Bộ fixture F_DUP và F_FILTER đã chuẩn bị.
Input: photo_valid.png, 200×200 px, &gt;0 và &lt;1 MiB; ID=G1N01A0017; tên hợp lệ
1. Mở Add Employee.
2. Chọn ảnh đúng định dạng; nhập tên và ID.
3. Save, mở lại hồ sơ.
Kết thúc: khôi phục fixture theo Test Data.</x:v>
      </x:c>
      <x:c r="D25" s="18" t="str">
        <x:v>Ảnh được chấp nhận, hồ sơ tạo thành công và hiển thị ảnh đã tải lên.</x:v>
      </x:c>
      <x:c r="E25" s="18" t="str">
        <x:v>Không phụ thuộc TC khác; dùng fixture setup.</x:v>
      </x:c>
      <x:c r="F25" s="19" t="str">
        <x:v>Untested</x:v>
      </x:c>
      <x:c r="G25" s="20"/>
      <x:c r="H25" s="18" t="str">
        <x:v>TD_PIM_EMP_04
Positive; Phân vùng tương đương
Automation: P2
File upload: xác nhận bằng UI và mở lại hồ sơ.</x:v>
      </x:c>
    </x:row>
    <x:row r="26" ht="140" customHeight="1">
      <x:c r="A26" s="21" t="str">
        <x:v>TC_PIM_EMP_018</x:v>
      </x:c>
      <x:c r="B26" s="21" t="str">
        <x:v>Từ chối tệp không phải ảnh đại diện</x:v>
      </x:c>
      <x:c r="C26" s="21" t="str">
        <x:v>Tiền điều kiện: Admin đã đăng nhập. Bộ fixture F_DUP và F_FILTER đã chuẩn bị.
Input: photo_invalid.pdf (PDF thực, không đổi đuôi); tên và ID hợp lệ
1. Mở Add Employee.
2. Chọn tệp PDF tại ô ảnh đại diện.
3. Quan sát lỗi trước khi Save.
Kết thúc: khôi phục fixture theo Test Data.</x:v>
      </x:c>
      <x:c r="D26" s="21" t="str">
        <x:v>Hiển thị lỗi loại tệp. Không thay ảnh đại diện bằng PDF.</x:v>
      </x:c>
      <x:c r="E26" s="21" t="str">
        <x:v>Không phụ thuộc TC khác; dùng fixture setup.</x:v>
      </x:c>
      <x:c r="F26" s="19" t="str">
        <x:v>Untested</x:v>
      </x:c>
      <x:c r="G26" s="20"/>
      <x:c r="H26" s="18" t="str">
        <x:v>TD_PIM_EMP_04
Negative; Phân vùng tương đương
Automation: P2</x:v>
      </x:c>
    </x:row>
    <x:row r="27" ht="140" customHeight="1">
      <x:c r="A27" s="18" t="str">
        <x:v>TC_PIM_EMP_019</x:v>
      </x:c>
      <x:c r="B27" s="18" t="str">
        <x:v>Từ chối ảnh đại diện vượt 1 MiB</x:v>
      </x:c>
      <x:c r="C27" s="18" t="str">
        <x:v>Tiền điều kiện: Admin đã đăng nhập. Bộ fixture F_DUP và F_FILTER đã chuẩn bị.
Input: photo_over_1m.png, PNG hợp lệ, 1.048.577 byte
1. Xác nhận dung lượng tệp.
2. Mở Add Employee, chọn ảnh quá cỡ.
3. Quan sát thông báo validation.
Kết thúc: khôi phục fixture theo Test Data.</x:v>
      </x:c>
      <x:c r="D27" s="18" t="str">
        <x:v>Hiển thị lỗi dung lượng tối đa 1 MiB. Ảnh quá cỡ không được chấp nhận.</x:v>
      </x:c>
      <x:c r="E27" s="18" t="str">
        <x:v>Không phụ thuộc TC khác; dùng fixture setup.</x:v>
      </x:c>
      <x:c r="F27" s="19" t="str">
        <x:v>Untested</x:v>
      </x:c>
      <x:c r="G27" s="20"/>
      <x:c r="H27" s="18" t="str">
        <x:v>TD_PIM_EMP_04
Negative; Phân tích giá trị biên
Automation: P2</x:v>
      </x:c>
    </x:row>
    <x:row r="28" ht="140" customHeight="1">
      <x:c r="A28" s="21" t="str">
        <x:v>TC_PIM_EMP_020</x:v>
      </x:c>
      <x:c r="B28" s="21" t="str">
        <x:v>Tìm nhân viên theo Employee Id</x:v>
      </x:c>
      <x:c r="C28" s="21" t="str">
        <x:v>Tiền điều kiện: Admin đã đăng nhập. Bộ fixture F_DUP và F_FILTER đã chuẩn bị.
Input: Employee Id=G1N01D0001 (F_DUP)
1. Vào Employee List, bấm Reset.
2. Nhập Employee Id, bấm Search.
3. Đối chiếu mọi dòng kết quả.
Kết thúc: khôi phục fixture theo Test Data.</x:v>
      </x:c>
      <x:c r="D28" s="21" t="str">
        <x:v>Có F_DUP với đúng Employee Id đã nhập. Không có nhân viên mang ID khác trong tập kết quả.</x:v>
      </x:c>
      <x:c r="E28" s="21" t="str">
        <x:v>Không phụ thuộc TC khác; dùng fixture setup.</x:v>
      </x:c>
      <x:c r="F28" s="19" t="str">
        <x:v>Untested</x:v>
      </x:c>
      <x:c r="G28" s="20"/>
      <x:c r="H28" s="18" t="str">
        <x:v>TD_PIM_EMP_05
Positive; Phân vùng tương đương
Automation: P1</x:v>
      </x:c>
    </x:row>
    <x:row r="29" ht="140" customHeight="1">
      <x:c r="A29" s="18" t="str">
        <x:v>TC_PIM_EMP_021</x:v>
      </x:c>
      <x:c r="B29" s="18" t="str">
        <x:v>Tìm nhân viên bằng autocomplete tên</x:v>
      </x:c>
      <x:c r="C29" s="18" t="str">
        <x:v>Tiền điều kiện: Admin đã đăng nhập. Bộ fixture F_DUP và F_FILTER đã chuẩn bị.
Input: Employee Name: chọn chính xác G01N01 Minh NhutPerson (F_PERSON)
1. Vào Employee List, Reset.
2. Nhập G01N01 vào Employee Name; đợi gợi ý.
3. Chọn đúng F_PERSON trong gợi ý, bấm Search.
Kết thúc: khôi phục fixture theo Test Data.</x:v>
      </x:c>
      <x:c r="D29" s="18" t="str">
        <x:v>Hiển thị nhân viên đã chọn với Employee Id G1N01P0001.</x:v>
      </x:c>
      <x:c r="E29" s="18" t="str">
        <x:v>Không phụ thuộc TC khác; dùng fixture setup.</x:v>
      </x:c>
      <x:c r="F29" s="19" t="str">
        <x:v>Untested</x:v>
      </x:c>
      <x:c r="G29" s="20"/>
      <x:c r="H29" s="18" t="str">
        <x:v>TD_PIM_EMP_05
Positive; Phân vùng tương đương
Automation: P1</x:v>
      </x:c>
    </x:row>
    <x:row r="30" ht="140" customHeight="1">
      <x:c r="A30" s="21" t="str">
        <x:v>TC_PIM_EMP_022</x:v>
      </x:c>
      <x:c r="B30" s="21" t="str">
        <x:v>Tìm Employee Id không tồn tại</x:v>
      </x:c>
      <x:c r="C30" s="21" t="str">
        <x:v>Tiền điều kiện: Admin đã đăng nhập. Bộ fixture F_DUP và F_FILTER đã chuẩn bị.
Input: Employee Id=G1N01NONE1 (10 ký tự, xác nhận chưa tồn tại)
1. Vào Employee List, Reset.
2. Nhập ID không tồn tại, Search.
Kết thúc: khôi phục fixture theo Test Data.</x:v>
      </x:c>
      <x:c r="D30" s="21" t="str">
        <x:v>Hiển thị trạng thái không có bản ghi. Không hiển thị dòng nhân viên cũ.</x:v>
      </x:c>
      <x:c r="E30" s="21" t="str">
        <x:v>Không phụ thuộc TC khác; dùng fixture setup.</x:v>
      </x:c>
      <x:c r="F30" s="19" t="str">
        <x:v>Untested</x:v>
      </x:c>
      <x:c r="G30" s="20"/>
      <x:c r="H30" s="18" t="str">
        <x:v>TD_PIM_EMP_05
Negative; Phân vùng tương đương
Automation: P1</x:v>
      </x:c>
    </x:row>
    <x:row r="31" ht="140" customHeight="1">
      <x:c r="A31" s="18" t="str">
        <x:v>TC_PIM_EMP_023</x:v>
      </x:c>
      <x:c r="B31" s="18" t="str">
        <x:v>Lọc kết hợp Employment Status và Job Title</x:v>
      </x:c>
      <x:c r="C31" s="18" t="str">
        <x:v>Tiền điều kiện: Admin đã đăng nhập. Bộ fixture F_DUP và F_FILTER đã chuẩn bị.
Input: STATUS_A và TITLE_A của F_FILTER; F_FILTER_NEG khác ít nhất một tiêu chí
1. Vào Employee List, Reset.
2. Chọn STATUS_A và TITLE_A theo Test Data, Search.
3. Kiểm tra toàn bộ trang kết quả; mở các trang kế tiếp nếu có.
Kết thúc: khôi phục fixture theo Test Data.</x:v>
      </x:c>
      <x:c r="D31" s="18" t="str">
        <x:v>Có F_FILTER. Mọi kết quả đồng thời thỏa hai tiêu chí. Không có F_FILTER_NEG.</x:v>
      </x:c>
      <x:c r="E31" s="18" t="str">
        <x:v>Không phụ thuộc TC khác; dùng fixture setup.</x:v>
      </x:c>
      <x:c r="F31" s="19" t="str">
        <x:v>Untested</x:v>
      </x:c>
      <x:c r="G31" s="20"/>
      <x:c r="H31" s="18" t="str">
        <x:v>TD_PIM_EMP_05
Integration; Bảng quyết định
Automation: P1</x:v>
      </x:c>
    </x:row>
    <x:row r="32" ht="140" customHeight="1">
      <x:c r="A32" s="21" t="str">
        <x:v>TC_PIM_EMP_024</x:v>
      </x:c>
      <x:c r="B32" s="21" t="str">
        <x:v>Reset xóa bộ lọc đã nhập</x:v>
      </x:c>
      <x:c r="C32" s="21" t="str">
        <x:v>Tiền điều kiện: Admin đã đăng nhập. Bộ fixture F_DUP và F_FILTER đã chuẩn bị.
Input: Employee Id=G1N01D0001; Employment Status=STATUS_A
1. Vào Employee List.
2. Điền ID và chọn status; bấm Search.
3. Bấm Reset và quan sát các ô lọc.
4. Bấm Search theo điều kiện mặc định.
Kết thúc: khôi phục fixture theo Test Data.</x:v>
      </x:c>
      <x:c r="D32" s="21" t="str">
        <x:v>Employee Id rỗng, status về mặc định. Search không còn bị giới hạn bởi ID và status trước đó.</x:v>
      </x:c>
      <x:c r="E32" s="21" t="str">
        <x:v>Không phụ thuộc TC khác; dùng fixture setup.</x:v>
      </x:c>
      <x:c r="F32" s="19" t="str">
        <x:v>Untested</x:v>
      </x:c>
      <x:c r="G32" s="20"/>
      <x:c r="H32" s="18" t="str">
        <x:v>TD_PIM_EMP_05
Positive; Phân vùng tương đương
Automation: P1</x:v>
      </x:c>
    </x:row>
    <x:row r="33" ht="142" customHeight="1">
      <x:c r="A33" s="18" t="str">
        <x:v>TC_PIM_EMP_025</x:v>
      </x:c>
      <x:c r="B33" s="18" t="str">
        <x:v>Sắp xếp danh sách theo First Name</x:v>
      </x:c>
      <x:c r="C33" s="18" t="str">
        <x:v>Tiền điều kiện: Admin đã đăng nhập. Bộ fixture F_DUP và F_FILTER đã chuẩn bị.
Input: Ít nhất hai nhân viên có First Name khác nhau trong tập kết quả
1. Vào Employee List, Reset rồi Search.
2. Bấm sắp xếp First (&amp; Middle) Name tăng dần.
3. Đối chiếu chuỗi tên tại trang hiện tại; đổi sang giảm dần và kiểm tra lại.
Kết thúc: khôi phục fixture theo Test Data.</x:v>
      </x:c>
      <x:c r="D33" s="18" t="str">
        <x:v>Thứ tự tên phù hợp từng chiều sắp xếp theo quy tắc giao diện. Không mất/nhân đôi bản ghi do đổi thứ tự.</x:v>
      </x:c>
      <x:c r="E33" s="18" t="str">
        <x:v>Không phụ thuộc TC khác; dùng fixture setup.</x:v>
      </x:c>
      <x:c r="F33" s="19" t="str">
        <x:v>Untested</x:v>
      </x:c>
      <x:c r="G33" s="20"/>
      <x:c r="H33" s="18" t="str">
        <x:v>TD_PIM_EMP_05
Positive; Chuyển trạng thái
Automation: P2</x:v>
      </x:c>
    </x:row>
  </x:sheetData>
  <x:mergeCells>
    <x:mergeCell ref="B2:H2"/>
    <x:mergeCell ref="B3:H3"/>
    <x:mergeCell ref="B4:H4"/>
    <x:mergeCell ref="F5:H5"/>
    <x:mergeCell ref="F6:H6"/>
  </x:mergeCells>
  <x:conditionalFormatting sqref="F9:F33">
    <x:cfRule type="containsText" dxfId="0" priority="1" operator="containsText" text="Passed"/>
    <x:cfRule type="containsText" dxfId="1" priority="2" operator="containsText" text="Failed"/>
    <x:cfRule type="containsText" dxfId="2" priority="3" operator="containsText" text="Blocked"/>
    <x:cfRule type="containsText" dxfId="3" priority="4" operator="containsText" text="Skipped"/>
  </x:conditionalFormatting>
  <x:dataValidations count="1">
    <x:dataValidation type="list" sqref="F9:F33">
      <x:formula1>"Passed,Failed,Untested,Blocked,Skipped"</x:formula1>
    </x:dataValidation>
  </x:dataValidations>
  <x:pageMargins left="0.7" right="0.7" top="0.75" bottom="0.75" header="0.3" footer="0.3"/>
</x:worksheet>
</file>

<file path=xl/worksheets/sheet5.xml><?xml version="1.0" encoding="utf-8"?>
<x:worksheet xmlns:x="http://schemas.openxmlformats.org/spreadsheetml/2006/main">
  <x:sheetPr>
    <x:tabColor rgb="FF1F4E78"/>
  </x:sheetPr>
  <x:sheetViews>
    <x:sheetView showGridLines="0" workbookViewId="0">
      <x:pane xSplit="1" ySplit="8" topLeftCell="B9" activePane="bottomRight" state="frozen"/>
    </x:sheetView>
  </x:sheetViews>
  <x:sheetFormatPr defaultRowHeight="15"/>
  <x:cols>
    <x:col min="1" max="1" width="25" hidden="0" customWidth="1"/>
    <x:col min="2" max="2" width="36" hidden="0" customWidth="1"/>
    <x:col min="3" max="3" width="72" hidden="0" customWidth="1"/>
    <x:col min="4" max="4" width="65" hidden="0" customWidth="1"/>
    <x:col min="5" max="5" width="24" hidden="0" customWidth="1"/>
    <x:col min="6" max="6" width="14" hidden="0" customWidth="1"/>
    <x:col min="7" max="7" width="15" hidden="0" customWidth="1"/>
    <x:col min="8" max="8" width="40" hidden="0" customWidth="1"/>
  </x:cols>
  <x:sheetData>
    <x:row r="1">
      <x:c r="A1" s="3"/>
      <x:c r="B1" s="3"/>
      <x:c r="C1" s="3"/>
      <x:c r="D1" s="3"/>
      <x:c r="E1" s="3"/>
      <x:c r="F1" s="3"/>
      <x:c r="G1" s="3"/>
      <x:c r="H1" s="3"/>
    </x:row>
    <x:row r="2">
      <x:c r="A2" s="7" t="str">
        <x:v>Module Code</x:v>
      </x:c>
      <x:c r="B2" s="3" t="str">
        <x:v>PIM_PERSONAL</x:v>
      </x:c>
      <x:c r="C2" s="3"/>
      <x:c r="D2" s="3"/>
      <x:c r="E2" s="3"/>
      <x:c r="F2" s="3"/>
      <x:c r="G2" s="3"/>
      <x:c r="H2" s="3"/>
    </x:row>
    <x:row r="3">
      <x:c r="A3" s="7" t="str">
        <x:v>Test requirement</x:v>
      </x:c>
      <x:c r="B3" s="3" t="str">
        <x:v>Personal Details và Attachments</x:v>
      </x:c>
      <x:c r="C3" s="3"/>
      <x:c r="D3" s="3"/>
      <x:c r="E3" s="3"/>
      <x:c r="F3" s="3"/>
      <x:c r="G3" s="3"/>
      <x:c r="H3" s="3"/>
    </x:row>
    <x:row r="4">
      <x:c r="A4" s="7" t="str">
        <x:v>Tester</x:v>
      </x:c>
      <x:c r="B4" s="3" t="str">
        <x:v>Võ Minh Nhựt – 23130226</x:v>
      </x:c>
      <x:c r="C4" s="3"/>
      <x:c r="D4" s="3"/>
      <x:c r="E4" s="3"/>
      <x:c r="F4" s="3"/>
      <x:c r="G4" s="3"/>
      <x:c r="H4" s="3"/>
    </x:row>
    <x:row r="5" ht="24" customHeight="1">
      <x:c r="A5" s="16" t="str">
        <x:v>Passed</x:v>
      </x:c>
      <x:c r="B5" s="16" t="str">
        <x:v>Failed</x:v>
      </x:c>
      <x:c r="C5" s="16" t="str">
        <x:v>Untested</x:v>
      </x:c>
      <x:c r="D5" s="16" t="str">
        <x:v>Blocked</x:v>
      </x:c>
      <x:c r="E5" s="16" t="str">
        <x:v>Skipped</x:v>
      </x:c>
      <x:c r="F5" s="16" t="str">
        <x:v>Number of Test cases</x:v>
      </x:c>
      <x:c r="G5" s="16"/>
      <x:c r="H5" s="16"/>
    </x:row>
    <x:row r="6" ht="24" customHeight="1">
      <x:c r="A6" s="17" t="n">
        <x:f>COUNTIF($F$9:$F$33,"Passed")</x:f>
        <x:v>0</x:v>
      </x:c>
      <x:c r="B6" s="17" t="n">
        <x:f>COUNTIF($F$9:$F$33,"Failed")</x:f>
        <x:v>0</x:v>
      </x:c>
      <x:c r="C6" s="17" t="n">
        <x:f>COUNTIF($F$9:$F$33,"Untested")</x:f>
        <x:v>25</x:v>
      </x:c>
      <x:c r="D6" s="17" t="n">
        <x:f>COUNTIF($F$9:$F$33,"Blocked")</x:f>
        <x:v>0</x:v>
      </x:c>
      <x:c r="E6" s="17" t="n">
        <x:f>COUNTIF($F$9:$F$33,"Skipped")</x:f>
        <x:v>0</x:v>
      </x:c>
      <x:c r="F6" s="17" t="n">
        <x:f>COUNTA(A9:A33)</x:f>
        <x:v>25</x:v>
      </x:c>
      <x:c r="G6" s="17"/>
      <x:c r="H6" s="17"/>
    </x:row>
    <x:row r="7">
      <x:c r="A7" s="3"/>
      <x:c r="B7" s="3"/>
      <x:c r="C7" s="3"/>
      <x:c r="D7" s="3"/>
      <x:c r="E7" s="3"/>
      <x:c r="F7" s="3"/>
      <x:c r="G7" s="3"/>
      <x:c r="H7" s="3"/>
    </x:row>
    <x:row r="8" ht="34" customHeight="1">
      <x:c r="A8" s="13" t="str">
        <x:v>ID</x:v>
      </x:c>
      <x:c r="B8" s="13" t="str">
        <x:v>Test Case Description</x:v>
      </x:c>
      <x:c r="C8" s="13" t="str">
        <x:v>Test Case Procedure</x:v>
      </x:c>
      <x:c r="D8" s="13" t="str">
        <x:v>Expected Output</x:v>
      </x:c>
      <x:c r="E8" s="13" t="str">
        <x:v>Inter-test case Dependence</x:v>
      </x:c>
      <x:c r="F8" s="13" t="str">
        <x:v>Result</x:v>
      </x:c>
      <x:c r="G8" s="13" t="str">
        <x:v>Test date</x:v>
      </x:c>
      <x:c r="H8" s="13" t="str">
        <x:v>Note</x:v>
      </x:c>
    </x:row>
    <x:row r="9" ht="140" customHeight="1">
      <x:c r="A9" s="18" t="str">
        <x:v>TC_PIM_PERSONAL_001</x:v>
      </x:c>
      <x:c r="B9" s="18" t="str">
        <x:v>Cập nhật đầy đủ ba thành phần tên</x:v>
      </x:c>
      <x:c r="C9" s="18" t="str">
        <x:v>Tiền điều kiện: Admin đã đăng nhập. Nhân viên F_PERSON tồn tại và có dữ liệu gốc để khôi phục.
Input: F_PERSON; First=G01N01; Middle=Minh; Last=NhutUpdated
1. Mở Personal Details của F_PERSON theo employee key.
2. Nhập đủ ba thành phần tên.
3. Save của khối Personal Details, tải lại trang.
Kết thúc: khôi phục fixture theo Test Data.</x:v>
      </x:c>
      <x:c r="D9" s="18" t="str">
        <x:v>Ba trường giữ đúng giá trị mới sau tải lại. Đúng employee key, không sửa nhân viên khác.</x:v>
      </x:c>
      <x:c r="E9" s="18" t="str">
        <x:v>Không phụ thuộc TC khác; dùng fixture setup.</x:v>
      </x:c>
      <x:c r="F9" s="19" t="str">
        <x:v>Untested</x:v>
      </x:c>
      <x:c r="G9" s="20"/>
      <x:c r="H9" s="18" t="str">
        <x:v>TD_PIM_PERSONAL_01
Positive; Phân vùng tương đương
Automation: P1</x:v>
      </x:c>
    </x:row>
    <x:row r="10" ht="140" customHeight="1">
      <x:c r="A10" s="21" t="str">
        <x:v>TC_PIM_PERSONAL_002</x:v>
      </x:c>
      <x:c r="B10" s="21" t="str">
        <x:v>First Name bắt buộc</x:v>
      </x:c>
      <x:c r="C10" s="21" t="str">
        <x:v>Tiền điều kiện: Admin đã đăng nhập. Nhân viên F_PERSON tồn tại và có dữ liệu gốc để khôi phục.
Input: First Name rỗng; các trường còn lại giữ dữ liệu gốc
1. Mở Personal Details F_PERSON.
2. Xóa trường cần kiểm tra.
3. Save; sau quan sát, tải lại không lưu để khôi phục.
Kết thúc: khôi phục fixture theo Test Data.</x:v>
      </x:c>
      <x:c r="D10" s="21" t="str">
        <x:v>First Name hiển thị Required. Không lưu tên rỗng; giá trị cũ còn nguyên sau tải lại.</x:v>
      </x:c>
      <x:c r="E10" s="21" t="str">
        <x:v>Không phụ thuộc TC khác; dùng fixture setup.</x:v>
      </x:c>
      <x:c r="F10" s="19" t="str">
        <x:v>Untested</x:v>
      </x:c>
      <x:c r="G10" s="20"/>
      <x:c r="H10" s="18" t="str">
        <x:v>TD_PIM_PERSONAL_02
Negative; Phân vùng tương đương
Automation: P1</x:v>
      </x:c>
    </x:row>
    <x:row r="11" ht="140" customHeight="1">
      <x:c r="A11" s="18" t="str">
        <x:v>TC_PIM_PERSONAL_003</x:v>
      </x:c>
      <x:c r="B11" s="18" t="str">
        <x:v>Last Name bắt buộc</x:v>
      </x:c>
      <x:c r="C11" s="18" t="str">
        <x:v>Tiền điều kiện: Admin đã đăng nhập. Nhân viên F_PERSON tồn tại và có dữ liệu gốc để khôi phục.
Input: Last Name rỗng; các trường còn lại giữ dữ liệu gốc
1. Mở Personal Details F_PERSON.
2. Xóa trường cần kiểm tra.
3. Save; sau quan sát, tải lại không lưu để khôi phục.
Kết thúc: khôi phục fixture theo Test Data.</x:v>
      </x:c>
      <x:c r="D11" s="18" t="str">
        <x:v>Last Name hiển thị Required. Không lưu tên rỗng; giá trị cũ còn nguyên sau tải lại.</x:v>
      </x:c>
      <x:c r="E11" s="18" t="str">
        <x:v>Không phụ thuộc TC khác; dùng fixture setup.</x:v>
      </x:c>
      <x:c r="F11" s="19" t="str">
        <x:v>Untested</x:v>
      </x:c>
      <x:c r="G11" s="20"/>
      <x:c r="H11" s="18" t="str">
        <x:v>TD_PIM_PERSONAL_02
Negative; Phân vùng tương đương
Automation: P1</x:v>
      </x:c>
    </x:row>
    <x:row r="12" ht="140" customHeight="1">
      <x:c r="A12" s="21" t="str">
        <x:v>TC_PIM_PERSONAL_004</x:v>
      </x:c>
      <x:c r="B12" s="21" t="str">
        <x:v>First Name đúng giới hạn 30 ký tự</x:v>
      </x:c>
      <x:c r="C12" s="21" t="str">
        <x:v>Tiền điều kiện: Admin đã đăng nhập. Nhân viên F_PERSON tồn tại và có dữ liệu gốc để khôi phục.
Input: First=AAAAAAAAAAAAAAAAAAAAAAAAAAAAAA (30 ký tự)
1. Mở Personal Details F_PERSON.
2. Thay First bằng chuỗi 30 ký tự.
3. Save, tải lại và đếm ký tự.
Kết thúc: khôi phục fixture theo Test Data.</x:v>
      </x:c>
      <x:c r="D12" s="21" t="str">
        <x:v>Lưu nguyên 30 ký tự và không có lỗi giới hạn.</x:v>
      </x:c>
      <x:c r="E12" s="21" t="str">
        <x:v>Không phụ thuộc TC khác; dùng fixture setup.</x:v>
      </x:c>
      <x:c r="F12" s="19" t="str">
        <x:v>Untested</x:v>
      </x:c>
      <x:c r="G12" s="20"/>
      <x:c r="H12" s="18" t="str">
        <x:v>TD_PIM_PERSONAL_02
Positive; Phân tích giá trị biên
Automation: P1</x:v>
      </x:c>
    </x:row>
    <x:row r="13" ht="140" customHeight="1">
      <x:c r="A13" s="18" t="str">
        <x:v>TC_PIM_PERSONAL_005</x:v>
      </x:c>
      <x:c r="B13" s="18" t="str">
        <x:v>First Name vượt giới hạn 30 ký tự</x:v>
      </x:c>
      <x:c r="C13" s="18" t="str">
        <x:v>Tiền điều kiện: Admin đã đăng nhập. Nhân viên F_PERSON tồn tại và có dữ liệu gốc để khôi phục.
Input: First=AAAAAAAAAAAAAAAAAAAAAAAAAAAAAAA (31 ký tự)
1. Mở Personal Details F_PERSON.
2. Nhập chuỗi 31 ký tự vào trường cần kiểm tra.
3. Save. Tải lại không lưu để kiểm tra dữ liệu gốc.
Kết thúc: khôi phục fixture theo Test Data.</x:v>
      </x:c>
      <x:c r="D13" s="18" t="str">
        <x:v>Có lỗi giới hạn 30 ký tự; không lưu chuỗi vượt giới hạn. Nếu UI chặn nhập, ghi rõ giới hạn thực tế.</x:v>
      </x:c>
      <x:c r="E13" s="18" t="str">
        <x:v>Không phụ thuộc TC khác; dùng fixture setup.</x:v>
      </x:c>
      <x:c r="F13" s="19" t="str">
        <x:v>Untested</x:v>
      </x:c>
      <x:c r="G13" s="20"/>
      <x:c r="H13" s="18" t="str">
        <x:v>TD_PIM_PERSONAL_02
Negative; Phân tích giá trị biên
Automation: P1</x:v>
      </x:c>
    </x:row>
    <x:row r="14" ht="140" customHeight="1">
      <x:c r="A14" s="21" t="str">
        <x:v>TC_PIM_PERSONAL_006</x:v>
      </x:c>
      <x:c r="B14" s="21" t="str">
        <x:v>Middle Name vượt giới hạn 30 ký tự</x:v>
      </x:c>
      <x:c r="C14" s="21" t="str">
        <x:v>Tiền điều kiện: Admin đã đăng nhập. Nhân viên F_PERSON tồn tại và có dữ liệu gốc để khôi phục.
Input: Middle=AAAAAAAAAAAAAAAAAAAAAAAAAAAAAAA (31 ký tự)
1. Mở Personal Details F_PERSON.
2. Nhập chuỗi 31 ký tự vào trường cần kiểm tra.
3. Save. Tải lại không lưu để kiểm tra dữ liệu gốc.
Kết thúc: khôi phục fixture theo Test Data.</x:v>
      </x:c>
      <x:c r="D14" s="21" t="str">
        <x:v>Có lỗi giới hạn 30 ký tự; không lưu chuỗi vượt giới hạn. Nếu UI chặn nhập, ghi rõ giới hạn thực tế.</x:v>
      </x:c>
      <x:c r="E14" s="21" t="str">
        <x:v>Không phụ thuộc TC khác; dùng fixture setup.</x:v>
      </x:c>
      <x:c r="F14" s="19" t="str">
        <x:v>Untested</x:v>
      </x:c>
      <x:c r="G14" s="20"/>
      <x:c r="H14" s="18" t="str">
        <x:v>TD_PIM_PERSONAL_02
Negative; Phân tích giá trị biên
Automation: P1</x:v>
      </x:c>
    </x:row>
    <x:row r="15" ht="140" customHeight="1">
      <x:c r="A15" s="18" t="str">
        <x:v>TC_PIM_PERSONAL_007</x:v>
      </x:c>
      <x:c r="B15" s="18" t="str">
        <x:v>Last Name vượt giới hạn 30 ký tự</x:v>
      </x:c>
      <x:c r="C15" s="18" t="str">
        <x:v>Tiền điều kiện: Admin đã đăng nhập. Nhân viên F_PERSON tồn tại và có dữ liệu gốc để khôi phục.
Input: Last=AAAAAAAAAAAAAAAAAAAAAAAAAAAAAAA (31 ký tự)
1. Mở Personal Details F_PERSON.
2. Nhập chuỗi 31 ký tự vào trường cần kiểm tra.
3. Save. Tải lại không lưu để kiểm tra dữ liệu gốc.
Kết thúc: khôi phục fixture theo Test Data.</x:v>
      </x:c>
      <x:c r="D15" s="18" t="str">
        <x:v>Có lỗi giới hạn 30 ký tự; không lưu chuỗi vượt giới hạn. Nếu UI chặn nhập, ghi rõ giới hạn thực tế.</x:v>
      </x:c>
      <x:c r="E15" s="18" t="str">
        <x:v>Không phụ thuộc TC khác; dùng fixture setup.</x:v>
      </x:c>
      <x:c r="F15" s="19" t="str">
        <x:v>Untested</x:v>
      </x:c>
      <x:c r="G15" s="20"/>
      <x:c r="H15" s="18" t="str">
        <x:v>TD_PIM_PERSONAL_02
Negative; Phân tích giá trị biên
Automation: P1</x:v>
      </x:c>
    </x:row>
    <x:row r="16" ht="140" customHeight="1">
      <x:c r="A16" s="21" t="str">
        <x:v>TC_PIM_PERSONAL_008</x:v>
      </x:c>
      <x:c r="B16" s="21" t="str">
        <x:v>Employee Id dài 10 ký tự</x:v>
      </x:c>
      <x:c r="C16" s="21" t="str">
        <x:v>Tiền điều kiện: Admin đã đăng nhập. Nhân viên F_PERSON tồn tại và có dữ liệu gốc để khôi phục.
Input: Employee Id=G1N01P0010; ID chưa dùng
1. Mở Personal Details F_PERSON bằng employee key, ghi ID cũ.
2. Thay Employee Id rồi Save.
3. Tải lại, kiểm tra giá trị và khôi phục ID gốc.
Kết thúc: khôi phục fixture theo Test Data.</x:v>
      </x:c>
      <x:c r="D16" s="21" t="str">
        <x:v>ID mới 10 ký tự được lưu nguyên và hồ sơ vẫn là F_PERSON.</x:v>
      </x:c>
      <x:c r="E16" s="21" t="str">
        <x:v>Không phụ thuộc TC khác; dùng fixture setup.</x:v>
      </x:c>
      <x:c r="F16" s="19" t="str">
        <x:v>Untested</x:v>
      </x:c>
      <x:c r="G16" s="20"/>
      <x:c r="H16" s="18" t="str">
        <x:v>TD_PIM_PERSONAL_03
Positive; Phân tích giá trị biên
Automation: P1</x:v>
      </x:c>
    </x:row>
    <x:row r="17" ht="140" customHeight="1">
      <x:c r="A17" s="18" t="str">
        <x:v>TC_PIM_PERSONAL_009</x:v>
      </x:c>
      <x:c r="B17" s="18" t="str">
        <x:v>Employee Id dài 11 ký tự</x:v>
      </x:c>
      <x:c r="C17" s="18" t="str">
        <x:v>Tiền điều kiện: Admin đã đăng nhập. Nhân viên F_PERSON tồn tại và có dữ liệu gốc để khôi phục.
Input: Employee Id=G1N01P0010X; ID chưa dùng
1. Mở Personal Details F_PERSON bằng employee key, ghi ID cũ.
2. Thay Employee Id rồi Save.
3. Tải lại, kiểm tra giá trị và khôi phục ID gốc.
Kết thúc: khôi phục fixture theo Test Data.</x:v>
      </x:c>
      <x:c r="D17" s="18" t="str">
        <x:v>Có lỗi giới hạn 10 ký tự, không lưu ID 11 ký tự.</x:v>
      </x:c>
      <x:c r="E17" s="18" t="str">
        <x:v>Không phụ thuộc TC khác; dùng fixture setup.</x:v>
      </x:c>
      <x:c r="F17" s="19" t="str">
        <x:v>Untested</x:v>
      </x:c>
      <x:c r="G17" s="20"/>
      <x:c r="H17" s="18" t="str">
        <x:v>TD_PIM_PERSONAL_03
Negative; Phân tích giá trị biên
Automation: P1</x:v>
      </x:c>
    </x:row>
    <x:row r="18" ht="140" customHeight="1">
      <x:c r="A18" s="21" t="str">
        <x:v>TC_PIM_PERSONAL_010</x:v>
      </x:c>
      <x:c r="B18" s="21" t="str">
        <x:v>Other Id dài 30 ký tự</x:v>
      </x:c>
      <x:c r="C18" s="21" t="str">
        <x:v>Tiền điều kiện: Admin đã đăng nhập. Nhân viên F_PERSON tồn tại và có dữ liệu gốc để khôi phục.
Input: Other Id=BBBBBBBBBBBBBBBBBBBBBBBBBBBBBB (30 ký tự)
1. Mở Personal Details F_PERSON.
2. Nhập đúng chuỗi vào trường chỉ định.
3. Save và tải lại.
Kết thúc: khôi phục fixture theo Test Data.</x:v>
      </x:c>
      <x:c r="D18" s="21" t="str">
        <x:v>Lưu nguyên 30 ký tự, không có lỗi giới hạn.</x:v>
      </x:c>
      <x:c r="E18" s="21" t="str">
        <x:v>Không phụ thuộc TC khác; dùng fixture setup.</x:v>
      </x:c>
      <x:c r="F18" s="19" t="str">
        <x:v>Untested</x:v>
      </x:c>
      <x:c r="G18" s="20"/>
      <x:c r="H18" s="18" t="str">
        <x:v>TD_PIM_PERSONAL_03
Positive; Phân tích giá trị biên
Automation: P1</x:v>
      </x:c>
    </x:row>
    <x:row r="19" ht="140" customHeight="1">
      <x:c r="A19" s="18" t="str">
        <x:v>TC_PIM_PERSONAL_011</x:v>
      </x:c>
      <x:c r="B19" s="18" t="str">
        <x:v>Other Id dài 31 ký tự</x:v>
      </x:c>
      <x:c r="C19" s="18" t="str">
        <x:v>Tiền điều kiện: Admin đã đăng nhập. Nhân viên F_PERSON tồn tại và có dữ liệu gốc để khôi phục.
Input: Other Id=BBBBBBBBBBBBBBBBBBBBBBBBBBBBBBB (31 ký tự)
1. Mở Personal Details F_PERSON.
2. Nhập đúng chuỗi vào trường chỉ định.
3. Save và tải lại.
Kết thúc: khôi phục fixture theo Test Data.</x:v>
      </x:c>
      <x:c r="D19" s="18" t="str">
        <x:v>Có lỗi giới hạn 30 ký tự. Giá trị vượt giới hạn không được lưu.</x:v>
      </x:c>
      <x:c r="E19" s="18" t="str">
        <x:v>Không phụ thuộc TC khác; dùng fixture setup.</x:v>
      </x:c>
      <x:c r="F19" s="19" t="str">
        <x:v>Untested</x:v>
      </x:c>
      <x:c r="G19" s="20"/>
      <x:c r="H19" s="18" t="str">
        <x:v>TD_PIM_PERSONAL_03
Negative; Phân tích giá trị biên
Automation: P1</x:v>
      </x:c>
    </x:row>
    <x:row r="20" ht="140" customHeight="1">
      <x:c r="A20" s="21" t="str">
        <x:v>TC_PIM_PERSONAL_012</x:v>
      </x:c>
      <x:c r="B20" s="21" t="str">
        <x:v>Driver's License Number dài 30 ký tự</x:v>
      </x:c>
      <x:c r="C20" s="21" t="str">
        <x:v>Tiền điều kiện: Admin đã đăng nhập. Nhân viên F_PERSON tồn tại và có dữ liệu gốc để khôi phục.
Input: Driver's License Number=BBBBBBBBBBBBBBBBBBBBBBBBBBBBBB (30 ký tự)
1. Mở Personal Details F_PERSON.
2. Nhập đúng chuỗi vào trường chỉ định.
3. Save và tải lại.
Kết thúc: khôi phục fixture theo Test Data.</x:v>
      </x:c>
      <x:c r="D20" s="21" t="str">
        <x:v>Lưu nguyên 30 ký tự, không có lỗi giới hạn.</x:v>
      </x:c>
      <x:c r="E20" s="21" t="str">
        <x:v>Không phụ thuộc TC khác; dùng fixture setup.</x:v>
      </x:c>
      <x:c r="F20" s="19" t="str">
        <x:v>Untested</x:v>
      </x:c>
      <x:c r="G20" s="20"/>
      <x:c r="H20" s="18" t="str">
        <x:v>TD_PIM_PERSONAL_03
Positive; Phân tích giá trị biên
Automation: P1</x:v>
      </x:c>
    </x:row>
    <x:row r="21" ht="140" customHeight="1">
      <x:c r="A21" s="18" t="str">
        <x:v>TC_PIM_PERSONAL_013</x:v>
      </x:c>
      <x:c r="B21" s="18" t="str">
        <x:v>Driver's License Number dài 31 ký tự</x:v>
      </x:c>
      <x:c r="C21" s="18" t="str">
        <x:v>Tiền điều kiện: Admin đã đăng nhập. Nhân viên F_PERSON tồn tại và có dữ liệu gốc để khôi phục.
Input: Driver's License Number=BBBBBBBBBBBBBBBBBBBBBBBBBBBBBBB (31 ký tự)
1. Mở Personal Details F_PERSON.
2. Nhập đúng chuỗi vào trường chỉ định.
3. Save và tải lại.
Kết thúc: khôi phục fixture theo Test Data.</x:v>
      </x:c>
      <x:c r="D21" s="18" t="str">
        <x:v>Có lỗi giới hạn 30 ký tự. Giá trị vượt giới hạn không được lưu.</x:v>
      </x:c>
      <x:c r="E21" s="18" t="str">
        <x:v>Không phụ thuộc TC khác; dùng fixture setup.</x:v>
      </x:c>
      <x:c r="F21" s="19" t="str">
        <x:v>Untested</x:v>
      </x:c>
      <x:c r="G21" s="20"/>
      <x:c r="H21" s="18" t="str">
        <x:v>TD_PIM_PERSONAL_03
Negative; Phân tích giá trị biên
Automation: P1</x:v>
      </x:c>
    </x:row>
    <x:row r="22" ht="140" customHeight="1">
      <x:c r="A22" s="21" t="str">
        <x:v>TC_PIM_PERSONAL_014</x:v>
      </x:c>
      <x:c r="B22" s="21" t="str">
        <x:v>Date of Birth là ngày nhuận hợp lệ</x:v>
      </x:c>
      <x:c r="C22" s="21" t="str">
        <x:v>Tiền điều kiện: Admin đã đăng nhập. Nhân viên F_PERSON tồn tại và có dữ liệu gốc để khôi phục.
Input: Ngày 29/02/2000; nhập theo định dạng đang hiển thị trên UI
1. Mở Personal Details F_PERSON.
2. Nhập ngày sinh nhuận.
3. Save và tải lại.
Kết thúc: khôi phục fixture theo Test Data.</x:v>
      </x:c>
      <x:c r="D22" s="21" t="str">
        <x:v>Lưu đúng ngày 29/02/2000. Không có lỗi định dạng ngày.</x:v>
      </x:c>
      <x:c r="E22" s="21" t="str">
        <x:v>Không phụ thuộc TC khác; dùng fixture setup.</x:v>
      </x:c>
      <x:c r="F22" s="19" t="str">
        <x:v>Untested</x:v>
      </x:c>
      <x:c r="G22" s="20"/>
      <x:c r="H22" s="18" t="str">
        <x:v>TD_PIM_PERSONAL_04
Positive; Phân vùng tương đương
Automation: P1</x:v>
      </x:c>
    </x:row>
    <x:row r="23" ht="140" customHeight="1">
      <x:c r="A23" s="18" t="str">
        <x:v>TC_PIM_PERSONAL_015</x:v>
      </x:c>
      <x:c r="B23" s="18" t="str">
        <x:v>Date of Birth là ngày không tồn tại</x:v>
      </x:c>
      <x:c r="C23" s="18" t="str">
        <x:v>Tiền điều kiện: Admin đã đăng nhập. Nhân viên F_PERSON tồn tại và có dữ liệu gốc để khôi phục.
Input: Ngày 30/02/2000; dùng thứ tự ngày-tháng-năm của UI
1. Mở Personal Details F_PERSON.
2. Nhập ngày không tồn tại.
3. Save.
Kết thúc: khôi phục fixture theo Test Data.</x:v>
      </x:c>
      <x:c r="D23" s="18" t="str">
        <x:v>Hiển thị lỗi ngày/định dạng; không lưu ngày 30/02/2000.</x:v>
      </x:c>
      <x:c r="E23" s="18" t="str">
        <x:v>Không phụ thuộc TC khác; dùng fixture setup.</x:v>
      </x:c>
      <x:c r="F23" s="19" t="str">
        <x:v>Untested</x:v>
      </x:c>
      <x:c r="G23" s="20"/>
      <x:c r="H23" s="18" t="str">
        <x:v>TD_PIM_PERSONAL_04
Negative; Phân vùng tương đương
Automation: P1</x:v>
      </x:c>
    </x:row>
    <x:row r="24" ht="140" customHeight="1">
      <x:c r="A24" s="21" t="str">
        <x:v>TC_PIM_PERSONAL_016</x:v>
      </x:c>
      <x:c r="B24" s="21" t="str">
        <x:v>License Expiry Date hợp lệ</x:v>
      </x:c>
      <x:c r="C24" s="21" t="str">
        <x:v>Tiền điều kiện: Admin đã đăng nhập. Nhân viên F_PERSON tồn tại và có dữ liệu gốc để khôi phục.
Input: Ngày 31/12/2030; theo định dạng UI
1. Mở Personal Details F_PERSON.
2. Nhập License Expiry Date.
3. Save và tải lại.
Kết thúc: khôi phục fixture theo Test Data.</x:v>
      </x:c>
      <x:c r="D24" s="21" t="str">
        <x:v>Lưu đúng ngày 31/12/2030, không có lỗi định dạng.</x:v>
      </x:c>
      <x:c r="E24" s="21" t="str">
        <x:v>Không phụ thuộc TC khác; dùng fixture setup.</x:v>
      </x:c>
      <x:c r="F24" s="19" t="str">
        <x:v>Untested</x:v>
      </x:c>
      <x:c r="G24" s="20"/>
      <x:c r="H24" s="18" t="str">
        <x:v>TD_PIM_PERSONAL_04
Positive; Phân vùng tương đương
Automation: P1</x:v>
      </x:c>
    </x:row>
    <x:row r="25" ht="140" customHeight="1">
      <x:c r="A25" s="18" t="str">
        <x:v>TC_PIM_PERSONAL_017</x:v>
      </x:c>
      <x:c r="B25" s="18" t="str">
        <x:v>License Expiry Date không hợp lệ</x:v>
      </x:c>
      <x:c r="C25" s="18" t="str">
        <x:v>Tiền điều kiện: Admin đã đăng nhập. Nhân viên F_PERSON tồn tại và có dữ liệu gốc để khôi phục.
Input: Ngày 31/04/2030; theo định dạng UI
1. Mở Personal Details F_PERSON.
2. Nhập ngày không tồn tại.
3. Save.
Kết thúc: khôi phục fixture theo Test Data.</x:v>
      </x:c>
      <x:c r="D25" s="18" t="str">
        <x:v>Hiển thị lỗi ngày/định dạng và không lưu ngày không tồn tại.</x:v>
      </x:c>
      <x:c r="E25" s="18" t="str">
        <x:v>Không phụ thuộc TC khác; dùng fixture setup.</x:v>
      </x:c>
      <x:c r="F25" s="19" t="str">
        <x:v>Untested</x:v>
      </x:c>
      <x:c r="G25" s="20"/>
      <x:c r="H25" s="18" t="str">
        <x:v>TD_PIM_PERSONAL_04
Negative; Phân vùng tương đương
Automation: P1</x:v>
      </x:c>
    </x:row>
    <x:row r="26" ht="140" customHeight="1">
      <x:c r="A26" s="21" t="str">
        <x:v>TC_PIM_PERSONAL_018</x:v>
      </x:c>
      <x:c r="B26" s="21" t="str">
        <x:v>Thay đổi Nationality</x:v>
      </x:c>
      <x:c r="C26" s="21" t="str">
        <x:v>Tiền điều kiện: Admin đã đăng nhập. Nhân viên F_PERSON tồn tại và có dữ liệu gốc để khôi phục.
Input: NATIONALITY_A: lựa chọn hợp lệ đầu tiên khác giá trị gốc; ghi nhãn trước run
1. Mở Personal Details F_PERSON.
2. Chọn NATIONALITY_A, Save.
3. Tải lại trang.
Kết thúc: khôi phục fixture theo Test Data.</x:v>
      </x:c>
      <x:c r="D26" s="21" t="str">
        <x:v>Nationality giữ đúng nhãn đã chọn sau tải lại.</x:v>
      </x:c>
      <x:c r="E26" s="21" t="str">
        <x:v>Không phụ thuộc TC khác; dùng fixture setup.</x:v>
      </x:c>
      <x:c r="F26" s="19" t="str">
        <x:v>Untested</x:v>
      </x:c>
      <x:c r="G26" s="20"/>
      <x:c r="H26" s="18" t="str">
        <x:v>TD_PIM_PERSONAL_01
Positive; Phân vùng tương đương
Automation: P1</x:v>
      </x:c>
    </x:row>
    <x:row r="27" ht="140" customHeight="1">
      <x:c r="A27" s="18" t="str">
        <x:v>TC_PIM_PERSONAL_019</x:v>
      </x:c>
      <x:c r="B27" s="18" t="str">
        <x:v>Thay đổi Marital Status</x:v>
      </x:c>
      <x:c r="C27" s="18" t="str">
        <x:v>Tiền điều kiện: Admin đã đăng nhập. Nhân viên F_PERSON tồn tại và có dữ liệu gốc để khôi phục.
Input: Marital Status=Married (nếu ban đầu Married thì chọn Single và ghi lại)
1. Mở Personal Details F_PERSON.
2. Chọn trạng thái hôn nhân khác giá trị gốc.
3. Save và tải lại.
Kết thúc: khôi phục fixture theo Test Data.</x:v>
      </x:c>
      <x:c r="D27" s="18" t="str">
        <x:v>Trạng thái hôn nhân được lưu đúng lựa chọn đã ghi trong run.</x:v>
      </x:c>
      <x:c r="E27" s="18" t="str">
        <x:v>Không phụ thuộc TC khác; dùng fixture setup.</x:v>
      </x:c>
      <x:c r="F27" s="19" t="str">
        <x:v>Untested</x:v>
      </x:c>
      <x:c r="G27" s="20"/>
      <x:c r="H27" s="18" t="str">
        <x:v>TD_PIM_PERSONAL_01
Positive; Phân vùng tương đương
Automation: P1</x:v>
      </x:c>
    </x:row>
    <x:row r="28" ht="140" customHeight="1">
      <x:c r="A28" s="21" t="str">
        <x:v>TC_PIM_PERSONAL_020</x:v>
      </x:c>
      <x:c r="B28" s="21" t="str">
        <x:v>Thay đổi Gender</x:v>
      </x:c>
      <x:c r="C28" s="21" t="str">
        <x:v>Tiền điều kiện: Admin đã đăng nhập. Nhân viên F_PERSON tồn tại và có dữ liệu gốc để khôi phục.
Input: Gender=Female; nếu dữ liệu gốc Female thì chọn Male
1. Mở Personal Details F_PERSON.
2. Chọn radio Gender khác giá trị gốc.
3. Save và tải lại.
Kết thúc: khôi phục fixture theo Test Data.</x:v>
      </x:c>
      <x:c r="D28" s="21" t="str">
        <x:v>Chỉ radio đã chọn được đánh dấu. Giá trị giữ đúng sau tải lại.</x:v>
      </x:c>
      <x:c r="E28" s="21" t="str">
        <x:v>Không phụ thuộc TC khác; dùng fixture setup.</x:v>
      </x:c>
      <x:c r="F28" s="19" t="str">
        <x:v>Untested</x:v>
      </x:c>
      <x:c r="G28" s="20"/>
      <x:c r="H28" s="18" t="str">
        <x:v>TD_PIM_PERSONAL_01
Positive; Phân vùng tương đương
Automation: P1</x:v>
      </x:c>
    </x:row>
    <x:row r="29" ht="140" customHeight="1">
      <x:c r="A29" s="18" t="str">
        <x:v>TC_PIM_PERSONAL_021</x:v>
      </x:c>
      <x:c r="B29" s="18" t="str">
        <x:v>Thêm attachment hợp lệ vào Personal Details</x:v>
      </x:c>
      <x:c r="C29" s="18" t="str">
        <x:v>Tiền điều kiện: Admin đã đăng nhập. Nhân viên F_PERSON tồn tại và có dữ liệu gốc để khôi phục.
Input: attachment_valid.pdf, &lt;1 MiB; Description=G01N01 Personal attachment
1. Mở F_PERSON &gt; Personal Details &gt; Attachments.
2. Bấm Add tại Attachments, chọn PDF và nhập mô tả.
3. Save, tải lại trang, kiểm tra dòng và mở/download tệp.
Kết thúc: khôi phục fixture theo Test Data.</x:v>
      </x:c>
      <x:c r="D29" s="18" t="str">
        <x:v>Có đúng một dòng tệp mới với tên và mô tả đã nhập. Tệp tải về đọc được.</x:v>
      </x:c>
      <x:c r="E29" s="18" t="str">
        <x:v>Không phụ thuộc TC khác; dùng fixture setup.</x:v>
      </x:c>
      <x:c r="F29" s="19" t="str">
        <x:v>Untested</x:v>
      </x:c>
      <x:c r="G29" s="20"/>
      <x:c r="H29" s="18" t="str">
        <x:v>TD_PIM_PERSONAL_05
Positive; Chuyển trạng thái
Automation: P2</x:v>
      </x:c>
    </x:row>
    <x:row r="30" ht="140" customHeight="1">
      <x:c r="A30" s="21" t="str">
        <x:v>TC_PIM_PERSONAL_022</x:v>
      </x:c>
      <x:c r="B30" s="21" t="str">
        <x:v>Không chọn file khi thêm attachment</x:v>
      </x:c>
      <x:c r="C30" s="21" t="str">
        <x:v>Tiền điều kiện: Admin đã đăng nhập. Nhân viên F_PERSON tồn tại và có dữ liệu gốc để khôi phục.
Input: File rỗng; Description=G01N01 No file
1. Mở Attachments của Personal Details F_PERSON.
2. Bấm Add, không chọn file, nhập mô tả.
3. Save.
Kết thúc: khôi phục fixture theo Test Data.</x:v>
      </x:c>
      <x:c r="D30" s="21" t="str">
        <x:v>Trường file hiển thị Required. Không xuất hiện dòng attachment mới.</x:v>
      </x:c>
      <x:c r="E30" s="21" t="str">
        <x:v>Không phụ thuộc TC khác; dùng fixture setup.</x:v>
      </x:c>
      <x:c r="F30" s="19" t="str">
        <x:v>Untested</x:v>
      </x:c>
      <x:c r="G30" s="20"/>
      <x:c r="H30" s="18" t="str">
        <x:v>TD_PIM_PERSONAL_05
Negative; Phân vùng tương đương
Automation: P1</x:v>
      </x:c>
    </x:row>
    <x:row r="31" ht="156" customHeight="1">
      <x:c r="A31" s="18" t="str">
        <x:v>TC_PIM_PERSONAL_023</x:v>
      </x:c>
      <x:c r="B31" s="18" t="str">
        <x:v>Mô tả attachment đúng 200 ký tự</x:v>
      </x:c>
      <x:c r="C31" s="18" t="str">
        <x:v>Tiền điều kiện: Admin đã đăng nhập. Nhân viên F_PERSON tồn tại và có dữ liệu gốc để khôi phục.
Input: attachment_valid.pdf; Description=DDDDDDDDDDDDDDDDDDDDDDDDDDDDDDDDDDDDDDDDDDDDDDDDDDDDDDDDDDDDDDDDDDDDDDDDDDDDDDDDDDDDDDDDDDDDDDDDDDDDDDDDDDDDDDDDDDDDDDDDDDDDDDDDDDDDDDDDDDDDDDDDDDDDDDDDDDDDDDDDDDDDDDDDDDDDDDDDDDDDDDDDDDDDDDDDDDDDDDDD (200 ký tự)
1. Mở Attachments F_PERSON, bấm Add.
2. Chọn PDF và nhập mô tả đúng 200 ký tự.
3. Save, mở Edit tệp vừa thêm.
Kết thúc: khôi phục fixture theo Test Data.</x:v>
      </x:c>
      <x:c r="D31" s="18" t="str">
        <x:v>Attachment được lưu. Mô tả có đủ 200 ký tự, không bị cắt.</x:v>
      </x:c>
      <x:c r="E31" s="18" t="str">
        <x:v>Không phụ thuộc TC khác; dùng fixture setup.</x:v>
      </x:c>
      <x:c r="F31" s="19" t="str">
        <x:v>Untested</x:v>
      </x:c>
      <x:c r="G31" s="20"/>
      <x:c r="H31" s="18" t="str">
        <x:v>TD_PIM_PERSONAL_05
Positive; Phân tích giá trị biên
Automation: P2</x:v>
      </x:c>
    </x:row>
    <x:row r="32" ht="156" customHeight="1">
      <x:c r="A32" s="21" t="str">
        <x:v>TC_PIM_PERSONAL_024</x:v>
      </x:c>
      <x:c r="B32" s="21" t="str">
        <x:v>Mô tả attachment vượt 200 ký tự</x:v>
      </x:c>
      <x:c r="C32" s="21" t="str">
        <x:v>Tiền điều kiện: Admin đã đăng nhập. Nhân viên F_PERSON tồn tại và có dữ liệu gốc để khôi phục.
Input: attachment_valid.pdf; Description=DDDDDDDDDDDDDDDDDDDDDDDDDDDDDDDDDDDDDDDDDDDDDDDDDDDDDDDDDDDDDDDDDDDDDDDDDDDDDDDDDDDDDDDDDDDDDDDDDDDDDDDDDDDDDDDDDDDDDDDDDDDDDDDDDDDDDDDDDDDDDDDDDDDDDDDDDDDDDDDDDDDDDDDDDDDDDDDDDDDDDDDDDDDDDDDDDDDDDDDDD (201 ký tự)
1. Mở Add Attachment F_PERSON.
2. Chọn PDF, nhập mô tả 201 ký tự.
3. Save.
Kết thúc: khôi phục fixture theo Test Data.</x:v>
      </x:c>
      <x:c r="D32" s="21" t="str">
        <x:v>Có lỗi giới hạn 200 ký tự. Không lưu mô tả vượt giới hạn.</x:v>
      </x:c>
      <x:c r="E32" s="21" t="str">
        <x:v>Không phụ thuộc TC khác; dùng fixture setup.</x:v>
      </x:c>
      <x:c r="F32" s="19" t="str">
        <x:v>Untested</x:v>
      </x:c>
      <x:c r="G32" s="20"/>
      <x:c r="H32" s="18" t="str">
        <x:v>TD_PIM_PERSONAL_05
Negative; Phân tích giá trị biên
Automation: P2</x:v>
      </x:c>
    </x:row>
    <x:row r="33" ht="140" customHeight="1">
      <x:c r="A33" s="18" t="str">
        <x:v>TC_PIM_PERSONAL_025</x:v>
      </x:c>
      <x:c r="B33" s="18" t="str">
        <x:v>Hủy rồi xác nhận xóa attachment của nhóm</x:v>
      </x:c>
      <x:c r="C33" s="18" t="str">
        <x:v>Tiền điều kiện: Admin đã đăng nhập. Nhân viên F_PERSON tồn tại và có dữ liệu gốc để khôi phục.
Input: Attachment F_PERSON có mô tả G01N01 Personal attachment đã tạo trong setup
1. Chụp/ghi tên tệp đích. Bấm Delete trên đúng dòng.
2. Bấm Cancel/No ở xác nhận. Kiểm tra tệp còn tồn tại.
3. Xóa lại, xác nhận Yes. Tải lại.
Kết thúc: khôi phục fixture theo Test Data.</x:v>
      </x:c>
      <x:c r="D33" s="18" t="str">
        <x:v>Sau Cancel, tệp vẫn có. Sau xác nhận xóa, đúng tệp đích biến mất và các tệp khác không thay đổi.</x:v>
      </x:c>
      <x:c r="E33" s="18" t="str">
        <x:v>Không phụ thuộc TC khác; dùng fixture setup.</x:v>
      </x:c>
      <x:c r="F33" s="19" t="str">
        <x:v>Untested</x:v>
      </x:c>
      <x:c r="G33" s="20"/>
      <x:c r="H33" s="18" t="str">
        <x:v>TD_PIM_PERSONAL_05
Integration; Chuyển trạng thái
Automation: P2
Chỉ xóa tệp fixture của nhóm.</x:v>
      </x:c>
    </x:row>
  </x:sheetData>
  <x:mergeCells>
    <x:mergeCell ref="B2:H2"/>
    <x:mergeCell ref="B3:H3"/>
    <x:mergeCell ref="B4:H4"/>
    <x:mergeCell ref="F5:H5"/>
    <x:mergeCell ref="F6:H6"/>
  </x:mergeCells>
  <x:conditionalFormatting sqref="F9:F33">
    <x:cfRule type="containsText" dxfId="4" priority="1" operator="containsText" text="Passed"/>
    <x:cfRule type="containsText" dxfId="5" priority="2" operator="containsText" text="Failed"/>
    <x:cfRule type="containsText" dxfId="6" priority="3" operator="containsText" text="Blocked"/>
    <x:cfRule type="containsText" dxfId="7" priority="4" operator="containsText" text="Skipped"/>
  </x:conditionalFormatting>
  <x:dataValidations count="1">
    <x:dataValidation type="list" sqref="F9:F33">
      <x:formula1>"Passed,Failed,Untested,Blocked,Skipped"</x:formula1>
    </x:dataValidation>
  </x:dataValidations>
  <x:pageMargins left="0.7" right="0.7" top="0.75" bottom="0.75" header="0.3" footer="0.3"/>
</x:worksheet>
</file>

<file path=xl/worksheets/sheet6.xml><?xml version="1.0" encoding="utf-8"?>
<x:worksheet xmlns:x="http://schemas.openxmlformats.org/spreadsheetml/2006/main">
  <x:sheetPr>
    <x:tabColor rgb="FF1F4E78"/>
  </x:sheetPr>
  <x:sheetViews>
    <x:sheetView showGridLines="0" workbookViewId="0">
      <x:pane xSplit="1" ySplit="8" topLeftCell="B9" activePane="bottomRight" state="frozen"/>
    </x:sheetView>
  </x:sheetViews>
  <x:sheetFormatPr defaultRowHeight="15"/>
  <x:cols>
    <x:col min="1" max="1" width="25" hidden="0" customWidth="1"/>
    <x:col min="2" max="2" width="36" hidden="0" customWidth="1"/>
    <x:col min="3" max="3" width="72" hidden="0" customWidth="1"/>
    <x:col min="4" max="4" width="65" hidden="0" customWidth="1"/>
    <x:col min="5" max="5" width="24" hidden="0" customWidth="1"/>
    <x:col min="6" max="6" width="14" hidden="0" customWidth="1"/>
    <x:col min="7" max="7" width="15" hidden="0" customWidth="1"/>
    <x:col min="8" max="8" width="40" hidden="0" customWidth="1"/>
  </x:cols>
  <x:sheetData>
    <x:row r="1">
      <x:c r="A1" s="3"/>
      <x:c r="B1" s="3"/>
      <x:c r="C1" s="3"/>
      <x:c r="D1" s="3"/>
      <x:c r="E1" s="3"/>
      <x:c r="F1" s="3"/>
      <x:c r="G1" s="3"/>
      <x:c r="H1" s="3"/>
    </x:row>
    <x:row r="2">
      <x:c r="A2" s="7" t="str">
        <x:v>Module Code</x:v>
      </x:c>
      <x:c r="B2" s="3" t="str">
        <x:v>PIM_JOB</x:v>
      </x:c>
      <x:c r="C2" s="3"/>
      <x:c r="D2" s="3"/>
      <x:c r="E2" s="3"/>
      <x:c r="F2" s="3"/>
      <x:c r="G2" s="3"/>
      <x:c r="H2" s="3"/>
    </x:row>
    <x:row r="3">
      <x:c r="A3" s="7" t="str">
        <x:v>Test requirement</x:v>
      </x:c>
      <x:c r="B3" s="3" t="str">
        <x:v>Job Details và Employment Contract</x:v>
      </x:c>
      <x:c r="C3" s="3"/>
      <x:c r="D3" s="3"/>
      <x:c r="E3" s="3"/>
      <x:c r="F3" s="3"/>
      <x:c r="G3" s="3"/>
      <x:c r="H3" s="3"/>
    </x:row>
    <x:row r="4">
      <x:c r="A4" s="7" t="str">
        <x:v>Tester</x:v>
      </x:c>
      <x:c r="B4" s="3" t="str">
        <x:v>Võ Minh Nhựt – 23130226</x:v>
      </x:c>
      <x:c r="C4" s="3"/>
      <x:c r="D4" s="3"/>
      <x:c r="E4" s="3"/>
      <x:c r="F4" s="3"/>
      <x:c r="G4" s="3"/>
      <x:c r="H4" s="3"/>
    </x:row>
    <x:row r="5" ht="24" customHeight="1">
      <x:c r="A5" s="16" t="str">
        <x:v>Passed</x:v>
      </x:c>
      <x:c r="B5" s="16" t="str">
        <x:v>Failed</x:v>
      </x:c>
      <x:c r="C5" s="16" t="str">
        <x:v>Untested</x:v>
      </x:c>
      <x:c r="D5" s="16" t="str">
        <x:v>Blocked</x:v>
      </x:c>
      <x:c r="E5" s="16" t="str">
        <x:v>Skipped</x:v>
      </x:c>
      <x:c r="F5" s="16" t="str">
        <x:v>Number of Test cases</x:v>
      </x:c>
      <x:c r="G5" s="16"/>
      <x:c r="H5" s="16"/>
    </x:row>
    <x:row r="6" ht="24" customHeight="1">
      <x:c r="A6" s="17" t="n">
        <x:f>COUNTIF($F$9:$F$33,"Passed")</x:f>
        <x:v>0</x:v>
      </x:c>
      <x:c r="B6" s="17" t="n">
        <x:f>COUNTIF($F$9:$F$33,"Failed")</x:f>
        <x:v>0</x:v>
      </x:c>
      <x:c r="C6" s="17" t="n">
        <x:f>COUNTIF($F$9:$F$33,"Untested")</x:f>
        <x:v>25</x:v>
      </x:c>
      <x:c r="D6" s="17" t="n">
        <x:f>COUNTIF($F$9:$F$33,"Blocked")</x:f>
        <x:v>0</x:v>
      </x:c>
      <x:c r="E6" s="17" t="n">
        <x:f>COUNTIF($F$9:$F$33,"Skipped")</x:f>
        <x:v>0</x:v>
      </x:c>
      <x:c r="F6" s="17" t="n">
        <x:f>COUNTA(A9:A33)</x:f>
        <x:v>25</x:v>
      </x:c>
      <x:c r="G6" s="17"/>
      <x:c r="H6" s="17"/>
    </x:row>
    <x:row r="7">
      <x:c r="A7" s="3"/>
      <x:c r="B7" s="3"/>
      <x:c r="C7" s="3"/>
      <x:c r="D7" s="3"/>
      <x:c r="E7" s="3"/>
      <x:c r="F7" s="3"/>
      <x:c r="G7" s="3"/>
      <x:c r="H7" s="3"/>
    </x:row>
    <x:row r="8" ht="34" customHeight="1">
      <x:c r="A8" s="13" t="str">
        <x:v>ID</x:v>
      </x:c>
      <x:c r="B8" s="13" t="str">
        <x:v>Test Case Description</x:v>
      </x:c>
      <x:c r="C8" s="13" t="str">
        <x:v>Test Case Procedure</x:v>
      </x:c>
      <x:c r="D8" s="13" t="str">
        <x:v>Expected Output</x:v>
      </x:c>
      <x:c r="E8" s="13" t="str">
        <x:v>Inter-test case Dependence</x:v>
      </x:c>
      <x:c r="F8" s="13" t="str">
        <x:v>Result</x:v>
      </x:c>
      <x:c r="G8" s="13" t="str">
        <x:v>Test date</x:v>
      </x:c>
      <x:c r="H8" s="13" t="str">
        <x:v>Note</x:v>
      </x:c>
    </x:row>
    <x:row r="9" ht="140" customHeight="1">
      <x:c r="A9" s="18" t="str">
        <x:v>TC_PIM_JOB_001</x:v>
      </x:c>
      <x:c r="B9" s="18" t="str">
        <x:v>Lưu Joined Date hợp lệ</x:v>
      </x:c>
      <x:c r="C9" s="18" t="str">
        <x:v>Tiền điều kiện: Admin đã đăng nhập. Nhân viên F_JOB tồn tại. Danh mục công việc có lựa chọn hợp lệ.
Input: F_JOB; Joined Date=01/10/2024 theo định dạng UI
1. Mở F_JOB &gt; Job.
2. Nhập Joined Date hợp lệ.
3. Save của khối Job, tải lại.
Kết thúc: khôi phục fixture theo Test Data.</x:v>
      </x:c>
      <x:c r="D9" s="18" t="str">
        <x:v>Joined Date được lưu đúng ngày 01/10/2024.</x:v>
      </x:c>
      <x:c r="E9" s="18" t="str">
        <x:v>Không phụ thuộc TC khác; dùng fixture setup.</x:v>
      </x:c>
      <x:c r="F9" s="19" t="str">
        <x:v>Untested</x:v>
      </x:c>
      <x:c r="G9" s="20"/>
      <x:c r="H9" s="18" t="str">
        <x:v>TD_PIM_JOB_01
Positive; Phân vùng tương đương
Automation: P1</x:v>
      </x:c>
    </x:row>
    <x:row r="10" ht="140" customHeight="1">
      <x:c r="A10" s="21" t="str">
        <x:v>TC_PIM_JOB_002</x:v>
      </x:c>
      <x:c r="B10" s="21" t="str">
        <x:v>Joined Date không tồn tại</x:v>
      </x:c>
      <x:c r="C10" s="21" t="str">
        <x:v>Tiền điều kiện: Admin đã đăng nhập. Nhân viên F_JOB tồn tại. Danh mục công việc có lựa chọn hợp lệ.
Input: Joined Date=31/02/2024 theo định dạng UI
1. Mở Job F_JOB.
2. Nhập ngày không tồn tại.
3. Save.
Kết thúc: khôi phục fixture theo Test Data.</x:v>
      </x:c>
      <x:c r="D10" s="21" t="str">
        <x:v>Có lỗi ngày/định dạng. Không lưu ngày 31/02/2024.</x:v>
      </x:c>
      <x:c r="E10" s="21" t="str">
        <x:v>Không phụ thuộc TC khác; dùng fixture setup.</x:v>
      </x:c>
      <x:c r="F10" s="19" t="str">
        <x:v>Untested</x:v>
      </x:c>
      <x:c r="G10" s="20"/>
      <x:c r="H10" s="18" t="str">
        <x:v>TD_PIM_JOB_01
Negative; Phân vùng tương đương
Automation: P1</x:v>
      </x:c>
    </x:row>
    <x:row r="11" ht="140" customHeight="1">
      <x:c r="A11" s="18" t="str">
        <x:v>TC_PIM_JOB_003</x:v>
      </x:c>
      <x:c r="B11" s="18" t="str">
        <x:v>Thay đổi Job Title</x:v>
      </x:c>
      <x:c r="C11" s="18" t="str">
        <x:v>Tiền điều kiện: Admin đã đăng nhập. Nhân viên F_JOB tồn tại. Danh mục công việc có lựa chọn hợp lệ.
Input: Job Title=TITLE_A: chọn giá trị hợp lệ khác giá trị cũ, ghi nhãn trước run
1. Mở Job F_JOB, ghi giá trị gốc.
2. Chọn giá trị đã thống nhất trong Test Data.
3. Save của Job, tải lại.
Kết thúc: khôi phục fixture theo Test Data.</x:v>
      </x:c>
      <x:c r="D11" s="18" t="str">
        <x:v>Job Title giữ đúng nhãn đã chọn sau tải lại; không thay đổi nhân viên khác.</x:v>
      </x:c>
      <x:c r="E11" s="18" t="str">
        <x:v>Không phụ thuộc TC khác; dùng fixture setup.</x:v>
      </x:c>
      <x:c r="F11" s="19" t="str">
        <x:v>Untested</x:v>
      </x:c>
      <x:c r="G11" s="20"/>
      <x:c r="H11" s="18" t="str">
        <x:v>TD_PIM_JOB_02
Positive; Phân vùng tương đương
Automation: P1</x:v>
      </x:c>
    </x:row>
    <x:row r="12" ht="140" customHeight="1">
      <x:c r="A12" s="21" t="str">
        <x:v>TC_PIM_JOB_004</x:v>
      </x:c>
      <x:c r="B12" s="21" t="str">
        <x:v>Thay đổi Job Category</x:v>
      </x:c>
      <x:c r="C12" s="21" t="str">
        <x:v>Tiền điều kiện: Admin đã đăng nhập. Nhân viên F_JOB tồn tại. Danh mục công việc có lựa chọn hợp lệ.
Input: Job Category=CATEGORY_A: chọn giá trị hợp lệ khác giá trị cũ, ghi nhãn trước run
1. Mở Job F_JOB, ghi giá trị gốc.
2. Chọn giá trị đã thống nhất trong Test Data.
3. Save của Job, tải lại.
Kết thúc: khôi phục fixture theo Test Data.</x:v>
      </x:c>
      <x:c r="D12" s="21" t="str">
        <x:v>Job Category giữ đúng nhãn đã chọn sau tải lại; không thay đổi nhân viên khác.</x:v>
      </x:c>
      <x:c r="E12" s="21" t="str">
        <x:v>Không phụ thuộc TC khác; dùng fixture setup.</x:v>
      </x:c>
      <x:c r="F12" s="19" t="str">
        <x:v>Untested</x:v>
      </x:c>
      <x:c r="G12" s="20"/>
      <x:c r="H12" s="18" t="str">
        <x:v>TD_PIM_JOB_02
Positive; Phân vùng tương đương
Automation: P1</x:v>
      </x:c>
    </x:row>
    <x:row r="13" ht="140" customHeight="1">
      <x:c r="A13" s="18" t="str">
        <x:v>TC_PIM_JOB_005</x:v>
      </x:c>
      <x:c r="B13" s="18" t="str">
        <x:v>Thay đổi Sub Unit</x:v>
      </x:c>
      <x:c r="C13" s="18" t="str">
        <x:v>Tiền điều kiện: Admin đã đăng nhập. Nhân viên F_JOB tồn tại. Danh mục công việc có lựa chọn hợp lệ.
Input: Sub Unit=SUBUNIT_A: chọn giá trị hợp lệ khác giá trị cũ, ghi nhãn trước run
1. Mở Job F_JOB, ghi giá trị gốc.
2. Chọn giá trị đã thống nhất trong Test Data.
3. Save của Job, tải lại.
Kết thúc: khôi phục fixture theo Test Data.</x:v>
      </x:c>
      <x:c r="D13" s="18" t="str">
        <x:v>Sub Unit giữ đúng nhãn đã chọn sau tải lại; không thay đổi nhân viên khác.</x:v>
      </x:c>
      <x:c r="E13" s="18" t="str">
        <x:v>Không phụ thuộc TC khác; dùng fixture setup.</x:v>
      </x:c>
      <x:c r="F13" s="19" t="str">
        <x:v>Untested</x:v>
      </x:c>
      <x:c r="G13" s="20"/>
      <x:c r="H13" s="18" t="str">
        <x:v>TD_PIM_JOB_02
Positive; Phân vùng tương đương
Automation: P1</x:v>
      </x:c>
    </x:row>
    <x:row r="14" ht="140" customHeight="1">
      <x:c r="A14" s="21" t="str">
        <x:v>TC_PIM_JOB_006</x:v>
      </x:c>
      <x:c r="B14" s="21" t="str">
        <x:v>Thay đổi Location</x:v>
      </x:c>
      <x:c r="C14" s="21" t="str">
        <x:v>Tiền điều kiện: Admin đã đăng nhập. Nhân viên F_JOB tồn tại. Danh mục công việc có lựa chọn hợp lệ.
Input: Location=LOCATION_A: chọn giá trị hợp lệ khác giá trị cũ, ghi nhãn trước run
1. Mở Job F_JOB, ghi giá trị gốc.
2. Chọn giá trị đã thống nhất trong Test Data.
3. Save của Job, tải lại.
Kết thúc: khôi phục fixture theo Test Data.</x:v>
      </x:c>
      <x:c r="D14" s="21" t="str">
        <x:v>Location giữ đúng nhãn đã chọn sau tải lại; không thay đổi nhân viên khác.</x:v>
      </x:c>
      <x:c r="E14" s="21" t="str">
        <x:v>Không phụ thuộc TC khác; dùng fixture setup.</x:v>
      </x:c>
      <x:c r="F14" s="19" t="str">
        <x:v>Untested</x:v>
      </x:c>
      <x:c r="G14" s="20"/>
      <x:c r="H14" s="18" t="str">
        <x:v>TD_PIM_JOB_02
Positive; Phân vùng tương đương
Automation: P1</x:v>
      </x:c>
    </x:row>
    <x:row r="15" ht="140" customHeight="1">
      <x:c r="A15" s="18" t="str">
        <x:v>TC_PIM_JOB_007</x:v>
      </x:c>
      <x:c r="B15" s="18" t="str">
        <x:v>Thay đổi Employment Status</x:v>
      </x:c>
      <x:c r="C15" s="18" t="str">
        <x:v>Tiền điều kiện: Admin đã đăng nhập. Nhân viên F_JOB tồn tại. Danh mục công việc có lựa chọn hợp lệ.
Input: Employment Status=STATUS_A: chọn giá trị hợp lệ khác giá trị cũ, ghi nhãn trước run
1. Mở Job F_JOB, ghi giá trị gốc.
2. Chọn giá trị đã thống nhất trong Test Data.
3. Save của Job, tải lại.
Kết thúc: khôi phục fixture theo Test Data.</x:v>
      </x:c>
      <x:c r="D15" s="18" t="str">
        <x:v>Employment Status giữ đúng nhãn đã chọn sau tải lại; không thay đổi nhân viên khác.</x:v>
      </x:c>
      <x:c r="E15" s="18" t="str">
        <x:v>Không phụ thuộc TC khác; dùng fixture setup.</x:v>
      </x:c>
      <x:c r="F15" s="19" t="str">
        <x:v>Untested</x:v>
      </x:c>
      <x:c r="G15" s="20"/>
      <x:c r="H15" s="18" t="str">
        <x:v>TD_PIM_JOB_02
Positive; Phân vùng tương đương
Automation: P1</x:v>
      </x:c>
    </x:row>
    <x:row r="16" ht="140" customHeight="1">
      <x:c r="A16" s="21" t="str">
        <x:v>TC_PIM_JOB_008</x:v>
      </x:c>
      <x:c r="B16" s="21" t="str">
        <x:v>Lưu đồng thời các trường Job Details</x:v>
      </x:c>
      <x:c r="C16" s="21" t="str">
        <x:v>Tiền điều kiện: Admin đã đăng nhập. Nhân viên F_JOB tồn tại. Danh mục công việc có lựa chọn hợp lệ.
Input: Joined=01/10/2024; TITLE_A; CATEGORY_A; SUBUNIT_A; LOCATION_A; STATUS_A
1. Mở Job F_JOB.
2. Nhập ngày và chọn đủ 5 danh mục theo Test Data.
3. Save, chuyển tab Personal Details rồi quay lại Job.
Kết thúc: khôi phục fixture theo Test Data.</x:v>
      </x:c>
      <x:c r="D16" s="21" t="str">
        <x:v>Ngày và toàn bộ 5 danh mục đều giữ đúng giá trị đã lưu trên F_JOB.</x:v>
      </x:c>
      <x:c r="E16" s="21" t="str">
        <x:v>Không phụ thuộc TC khác; dùng fixture setup.</x:v>
      </x:c>
      <x:c r="F16" s="19" t="str">
        <x:v>Untested</x:v>
      </x:c>
      <x:c r="G16" s="20"/>
      <x:c r="H16" s="18" t="str">
        <x:v>TD_PIM_JOB_02
Integration; Bảng quyết định
Automation: P1</x:v>
      </x:c>
    </x:row>
    <x:row r="17" ht="140" customHeight="1">
      <x:c r="A17" s="18" t="str">
        <x:v>TC_PIM_JOB_009</x:v>
      </x:c>
      <x:c r="B17" s="18" t="str">
        <x:v>Xóa Joined Date tùy chọn</x:v>
      </x:c>
      <x:c r="C17" s="18" t="str">
        <x:v>Tiền điều kiện: Admin đã đăng nhập. Nhân viên F_JOB tồn tại. Danh mục công việc có lựa chọn hợp lệ.
Input: Joined Date rỗng; các danh mục giữ dữ liệu gốc
1. Mở Job F_JOB có Joined Date.
2. Xóa ngày, Save.
3. Tải lại.
Kết thúc: khôi phục fixture theo Test Data.</x:v>
      </x:c>
      <x:c r="D17" s="18" t="str">
        <x:v>Có thể lưu Joined Date rỗng. Không tự gán ngày khác.</x:v>
      </x:c>
      <x:c r="E17" s="18" t="str">
        <x:v>Không phụ thuộc TC khác; dùng fixture setup.</x:v>
      </x:c>
      <x:c r="F17" s="19" t="str">
        <x:v>Untested</x:v>
      </x:c>
      <x:c r="G17" s="20"/>
      <x:c r="H17" s="18" t="str">
        <x:v>TD_PIM_JOB_01
Positive; Phân vùng tương đương
Automation: P1</x:v>
      </x:c>
    </x:row>
    <x:row r="18" ht="140" customHeight="1">
      <x:c r="A18" s="21" t="str">
        <x:v>TC_PIM_JOB_010</x:v>
      </x:c>
      <x:c r="B18" s="21" t="str">
        <x:v>Bật hiển thị Employment Contract Details</x:v>
      </x:c>
      <x:c r="C18" s="21" t="str">
        <x:v>Tiền điều kiện: Admin đã đăng nhập. Nhân viên F_JOB tồn tại. Danh mục công việc có lựa chọn hợp lệ.
Input: Include Employment Contract Details đang tắt
1. Mở Job F_JOB.
2. Bật Include Employment Contract Details.
3. Quan sát phần mở rộng, không Save thay đổi.
Kết thúc: khôi phục fixture theo Test Data.</x:v>
      </x:c>
      <x:c r="D18" s="21" t="str">
        <x:v>Hiển thị Start Date, End Date và vùng Contract Details/upload. Không coi thao tác bật là bằng chứng đã lưu hợp đồng.</x:v>
      </x:c>
      <x:c r="E18" s="21" t="str">
        <x:v>Không phụ thuộc TC khác; dùng fixture setup.</x:v>
      </x:c>
      <x:c r="F18" s="19" t="str">
        <x:v>Untested</x:v>
      </x:c>
      <x:c r="G18" s="20"/>
      <x:c r="H18" s="18" t="str">
        <x:v>TD_PIM_JOB_03
Positive; Phân vùng tương đương
Automation: P1</x:v>
      </x:c>
    </x:row>
    <x:row r="19" ht="140" customHeight="1">
      <x:c r="A19" s="18" t="str">
        <x:v>TC_PIM_JOB_011</x:v>
      </x:c>
      <x:c r="B19" s="18" t="str">
        <x:v>Tắt phần mở rộng hợp đồng không xóa dữ liệu</x:v>
      </x:c>
      <x:c r="C19" s="18" t="str">
        <x:v>Tiền điều kiện: Admin đã đăng nhập. Nhân viên F_JOB tồn tại. Danh mục công việc có lựa chọn hợp lệ.
Input: Hợp đồng fixture đã có ngày và tệp, toggle đang bật
1. Mở Job F_JOB, ghi ngày và tên tệp hợp đồng.
2. Tắt toggle để ẩn phần hợp đồng, sau đó bật lại trước Save.
3. Quan sát ngày và tệp.
Kết thúc: khôi phục fixture theo Test Data.</x:v>
      </x:c>
      <x:c r="D19" s="18" t="str">
        <x:v>Phần hợp đồng ẩn rồi hiện. Ngày và tệp vẫn còn khi bật lại. Không tự xóa dữ liệu do thao tác toggle.</x:v>
      </x:c>
      <x:c r="E19" s="18" t="str">
        <x:v>Không phụ thuộc TC khác; dùng fixture setup.</x:v>
      </x:c>
      <x:c r="F19" s="19" t="str">
        <x:v>Untested</x:v>
      </x:c>
      <x:c r="G19" s="20"/>
      <x:c r="H19" s="18" t="str">
        <x:v>TD_PIM_JOB_03
Positive; Chuyển trạng thái
Automation: P1</x:v>
      </x:c>
    </x:row>
    <x:row r="20" ht="140" customHeight="1">
      <x:c r="A20" s="21" t="str">
        <x:v>TC_PIM_JOB_012</x:v>
      </x:c>
      <x:c r="B20" s="21" t="str">
        <x:v>Hợp đồng có End Date sau Start Date</x:v>
      </x:c>
      <x:c r="C20" s="21" t="str">
        <x:v>Tiền điều kiện: Admin đã đăng nhập. Nhân viên F_JOB tồn tại. Danh mục công việc có lựa chọn hợp lệ.
Input: Start=01/01/2026; End=31/12/2026; theo định dạng UI
1. Mở Job F_JOB, bật Contract Details.
2. Nhập hai ngày hợp lệ, Save.
3. Tải lại, bật phần hợp đồng nếu cần.
Kết thúc: khôi phục fixture theo Test Data.</x:v>
      </x:c>
      <x:c r="D20" s="21" t="str">
        <x:v>Lưu đúng hai ngày. End Date sau Start Date, không có lỗi.</x:v>
      </x:c>
      <x:c r="E20" s="21" t="str">
        <x:v>Không phụ thuộc TC khác; dùng fixture setup.</x:v>
      </x:c>
      <x:c r="F20" s="19" t="str">
        <x:v>Untested</x:v>
      </x:c>
      <x:c r="G20" s="20"/>
      <x:c r="H20" s="18" t="str">
        <x:v>TD_PIM_JOB_04
Positive; Bảng quyết định
Automation: P1</x:v>
      </x:c>
    </x:row>
    <x:row r="21" ht="140" customHeight="1">
      <x:c r="A21" s="18" t="str">
        <x:v>TC_PIM_JOB_013</x:v>
      </x:c>
      <x:c r="B21" s="18" t="str">
        <x:v>End Date trước Start Date</x:v>
      </x:c>
      <x:c r="C21" s="18" t="str">
        <x:v>Tiền điều kiện: Admin đã đăng nhập. Nhân viên F_JOB tồn tại. Danh mục công việc có lựa chọn hợp lệ.
Input: Start=01/01/2026; End=31/12/2025
1. Mở Job F_JOB, bật Contract Details.
2. Nhập hai ngày.
3. Save.
Kết thúc: khôi phục fixture theo Test Data.</x:v>
      </x:c>
      <x:c r="D21" s="18" t="str">
        <x:v>End Date có lỗi yêu cầu sau Start Date. Không lưu cặp ngày sai.</x:v>
      </x:c>
      <x:c r="E21" s="18" t="str">
        <x:v>Không phụ thuộc TC khác; dùng fixture setup.</x:v>
      </x:c>
      <x:c r="F21" s="19" t="str">
        <x:v>Untested</x:v>
      </x:c>
      <x:c r="G21" s="20"/>
      <x:c r="H21" s="18" t="str">
        <x:v>TD_PIM_JOB_04
Negative; Bảng quyết định
Automation: P1</x:v>
      </x:c>
    </x:row>
    <x:row r="22" ht="140" customHeight="1">
      <x:c r="A22" s="21" t="str">
        <x:v>TC_PIM_JOB_014</x:v>
      </x:c>
      <x:c r="B22" s="21" t="str">
        <x:v>End Date bằng Start Date</x:v>
      </x:c>
      <x:c r="C22" s="21" t="str">
        <x:v>Tiền điều kiện: Admin đã đăng nhập. Nhân viên F_JOB tồn tại. Danh mục công việc có lựa chọn hợp lệ.
Input: Start=01/01/2026; End=01/01/2026
1. Mở Job F_JOB, bật Contract Details.
2. Nhập cùng ngày bắt đầu và kết thúc.
3. Save.
Kết thúc: khôi phục fixture theo Test Data.</x:v>
      </x:c>
      <x:c r="D22" s="21" t="str">
        <x:v>End Date bị từ chối vì phải sau Start Date (không chấp nhận cùng ngày theo baseline 5.9).</x:v>
      </x:c>
      <x:c r="E22" s="21" t="str">
        <x:v>Không phụ thuộc TC khác; dùng fixture setup.</x:v>
      </x:c>
      <x:c r="F22" s="19" t="str">
        <x:v>Untested</x:v>
      </x:c>
      <x:c r="G22" s="20"/>
      <x:c r="H22" s="18" t="str">
        <x:v>TD_PIM_JOB_04
Negative; Phân tích giá trị biên
Automation: P1</x:v>
      </x:c>
    </x:row>
    <x:row r="23" ht="140" customHeight="1">
      <x:c r="A23" s="18" t="str">
        <x:v>TC_PIM_JOB_015</x:v>
      </x:c>
      <x:c r="B23" s="18" t="str">
        <x:v>Start Date không tồn tại</x:v>
      </x:c>
      <x:c r="C23" s="18" t="str">
        <x:v>Tiền điều kiện: Admin đã đăng nhập. Nhân viên F_JOB tồn tại. Danh mục công việc có lựa chọn hợp lệ.
Input: Start=31/02/2026; End=31/12/2026
1. Mở Job F_JOB, bật Contract Details.
2. Nhập dữ liệu, Save.
Kết thúc: khôi phục fixture theo Test Data.</x:v>
      </x:c>
      <x:c r="D23" s="18" t="str">
        <x:v>Có lỗi ngày/định dạng tại Start Date. Không lưu ngày không tồn tại.</x:v>
      </x:c>
      <x:c r="E23" s="18" t="str">
        <x:v>Không phụ thuộc TC khác; dùng fixture setup.</x:v>
      </x:c>
      <x:c r="F23" s="19" t="str">
        <x:v>Untested</x:v>
      </x:c>
      <x:c r="G23" s="20"/>
      <x:c r="H23" s="18" t="str">
        <x:v>TD_PIM_JOB_04
Negative; Phân vùng tương đương
Automation: P1</x:v>
      </x:c>
    </x:row>
    <x:row r="24" ht="140" customHeight="1">
      <x:c r="A24" s="21" t="str">
        <x:v>TC_PIM_JOB_016</x:v>
      </x:c>
      <x:c r="B24" s="21" t="str">
        <x:v>End Date không tồn tại</x:v>
      </x:c>
      <x:c r="C24" s="21" t="str">
        <x:v>Tiền điều kiện: Admin đã đăng nhập. Nhân viên F_JOB tồn tại. Danh mục công việc có lựa chọn hợp lệ.
Input: Start=01/01/2026; End=31/04/2026
1. Mở Job F_JOB, bật Contract Details.
2. Nhập dữ liệu, Save.
Kết thúc: khôi phục fixture theo Test Data.</x:v>
      </x:c>
      <x:c r="D24" s="21" t="str">
        <x:v>Có lỗi ngày/định dạng tại End Date. Không lưu ngày không tồn tại.</x:v>
      </x:c>
      <x:c r="E24" s="21" t="str">
        <x:v>Không phụ thuộc TC khác; dùng fixture setup.</x:v>
      </x:c>
      <x:c r="F24" s="19" t="str">
        <x:v>Untested</x:v>
      </x:c>
      <x:c r="G24" s="20"/>
      <x:c r="H24" s="18" t="str">
        <x:v>TD_PIM_JOB_04
Negative; Phân vùng tương đương
Automation: P1</x:v>
      </x:c>
    </x:row>
    <x:row r="25" ht="140" customHeight="1">
      <x:c r="A25" s="18" t="str">
        <x:v>TC_PIM_JOB_017</x:v>
      </x:c>
      <x:c r="B25" s="18" t="str">
        <x:v>Tải tệp hợp đồng PDF hợp lệ</x:v>
      </x:c>
      <x:c r="C25" s="18" t="str">
        <x:v>Tiền điều kiện: Admin đã đăng nhập. Nhân viên F_JOB tồn tại. Danh mục công việc có lựa chọn hợp lệ.
Input: contract_v1.pdf, &gt;0 và &lt;1 MiB; ngày hợp đồng hợp lệ
1. Mở Job F_JOB, bật Contract Details; đảm bảo fixture chưa có tệp.
2. Chọn contract_v1.pdf và điền ngày hợp lệ.
3. Save, tải lại, mở/download tệp.
Kết thúc: khôi phục fixture theo Test Data.</x:v>
      </x:c>
      <x:c r="D25" s="18" t="str">
        <x:v>Tên contract_v1.pdf còn sau tải lại. Nội dung tải xuống là hợp đồng mẫu v1.</x:v>
      </x:c>
      <x:c r="E25" s="18" t="str">
        <x:v>Không phụ thuộc TC khác; dùng fixture setup.</x:v>
      </x:c>
      <x:c r="F25" s="19" t="str">
        <x:v>Untested</x:v>
      </x:c>
      <x:c r="G25" s="20"/>
      <x:c r="H25" s="18" t="str">
        <x:v>TD_PIM_JOB_05
Positive; Chuyển trạng thái
Automation: P2</x:v>
      </x:c>
    </x:row>
    <x:row r="26" ht="142" customHeight="1">
      <x:c r="A26" s="21" t="str">
        <x:v>TC_PIM_JOB_018</x:v>
      </x:c>
      <x:c r="B26" s="21" t="str">
        <x:v>Từ chối tệp hợp đồng vượt giới hạn</x:v>
      </x:c>
      <x:c r="C26" s="21" t="str">
        <x:v>Tiền điều kiện: Admin đã đăng nhập. Nhân viên F_JOB tồn tại. Danh mục công việc có lựa chọn hợp lệ.
Input: contract_over_limit.pdf; dung lượng lớn hơn Max Attachment Size đang cấu hình
1. Ghi Max Attachment Size từ Admin &gt; Configuration &gt; Attachments hoặc hint của Job.
2. Chuẩn bị PDF lớn hơn giới hạn đúng 1 byte.
3. Chọn tệp trong Contract Details và Save.
Kết thúc: khôi phục fixture theo Test Data.</x:v>
      </x:c>
      <x:c r="D26" s="21" t="str">
        <x:v>Có lỗi dung lượng. Tệp hợp đồng cũ không bị thay bằng tệp quá cỡ.</x:v>
      </x:c>
      <x:c r="E26" s="21" t="str">
        <x:v>Không phụ thuộc TC khác; dùng fixture setup.</x:v>
      </x:c>
      <x:c r="F26" s="19" t="str">
        <x:v>Untested</x:v>
      </x:c>
      <x:c r="G26" s="20"/>
      <x:c r="H26" s="18" t="str">
        <x:v>TD_PIM_JOB_05
Negative; Phân tích giá trị biên
Automation: P2
Không mặc định giới hạn contract giống ảnh đại diện.</x:v>
      </x:c>
    </x:row>
    <x:row r="27" ht="142" customHeight="1">
      <x:c r="A27" s="18" t="str">
        <x:v>TC_PIM_JOB_019</x:v>
      </x:c>
      <x:c r="B27" s="18" t="str">
        <x:v>Từ chối loại file hợp đồng không cho phép</x:v>
      </x:c>
      <x:c r="C27" s="18" t="str">
        <x:v>Tiền điều kiện: Admin đã đăng nhập. Nhân viên F_JOB tồn tại. Danh mục công việc có lựa chọn hợp lệ.
Input: contract_disallowed.csv; MIME text/csv không nằm trong allowed list của môi trường
1. Đối chiếu allowed list tại cấu hình attachments/hint. Nếu CSV được phép, dùng một loại thực sự bị cấm và ghi lại tên.
2. Chọn tệp bị cấm tại Contract Details.
3. Save.
Kết thúc: khôi phục fixture theo Test Data.</x:v>
      </x:c>
      <x:c r="D27" s="18" t="str">
        <x:v>Có lỗi loại tệp. Không lưu tệp không được phép, hợp đồng cũ còn nguyên.</x:v>
      </x:c>
      <x:c r="E27" s="18" t="str">
        <x:v>Không phụ thuộc TC khác; dùng fixture setup.</x:v>
      </x:c>
      <x:c r="F27" s="19" t="str">
        <x:v>Untested</x:v>
      </x:c>
      <x:c r="G27" s="20"/>
      <x:c r="H27" s="18" t="str">
        <x:v>TD_PIM_JOB_05
Negative; Phân vùng tương đương
Automation: P2</x:v>
      </x:c>
    </x:row>
    <x:row r="28" ht="140" customHeight="1">
      <x:c r="A28" s="21" t="str">
        <x:v>TC_PIM_JOB_020</x:v>
      </x:c>
      <x:c r="B28" s="21" t="str">
        <x:v>Giữ tệp hợp đồng hiện tại khi đổi ngày</x:v>
      </x:c>
      <x:c r="C28" s="21" t="str">
        <x:v>Tiền điều kiện: Admin đã đăng nhập. Nhân viên F_JOB tồn tại. Danh mục công việc có lựa chọn hợp lệ.
Input: F_JOB đã có contract_v1.pdf; lựa chọn Keep Current; End đổi sang 31/12/2027
1. Mở Contract Details của F_JOB.
2. Giữ Keep Current, đổi End Date hợp lệ.
3. Save, tải lại, download tệp.
Kết thúc: khôi phục fixture theo Test Data.</x:v>
      </x:c>
      <x:c r="D28" s="21" t="str">
        <x:v>Ngày kết thúc mới được lưu. Tệp vẫn là contract_v1.pdf, nội dung không đổi.</x:v>
      </x:c>
      <x:c r="E28" s="21" t="str">
        <x:v>Không phụ thuộc TC khác; dùng fixture setup.</x:v>
      </x:c>
      <x:c r="F28" s="19" t="str">
        <x:v>Untested</x:v>
      </x:c>
      <x:c r="G28" s="20"/>
      <x:c r="H28" s="18" t="str">
        <x:v>TD_PIM_JOB_05
Integration; Chuyển trạng thái
Automation: P2</x:v>
      </x:c>
    </x:row>
    <x:row r="29" ht="140" customHeight="1">
      <x:c r="A29" s="18" t="str">
        <x:v>TC_PIM_JOB_021</x:v>
      </x:c>
      <x:c r="B29" s="18" t="str">
        <x:v>Thay thế tệp hợp đồng hiện tại</x:v>
      </x:c>
      <x:c r="C29" s="18" t="str">
        <x:v>Tiền điều kiện: Admin đã đăng nhập. Nhân viên F_JOB tồn tại. Danh mục công việc có lựa chọn hợp lệ.
Input: F_JOB có contract_v1.pdf; chọn Replace Current; file=contract_v2.pdf
1. Mở Contract Details.
2. Chọn Replace Current, tải contract_v2.pdf.
3. Save, tải lại, download tệp.
Kết thúc: khôi phục fixture theo Test Data.</x:v>
      </x:c>
      <x:c r="D29" s="18" t="str">
        <x:v>Tệp hợp đồng hiện tại là contract_v2.pdf với nội dung v2; không còn dùng v1 làm tệp hiện tại.</x:v>
      </x:c>
      <x:c r="E29" s="18" t="str">
        <x:v>Không phụ thuộc TC khác; dùng fixture setup.</x:v>
      </x:c>
      <x:c r="F29" s="19" t="str">
        <x:v>Untested</x:v>
      </x:c>
      <x:c r="G29" s="20"/>
      <x:c r="H29" s="18" t="str">
        <x:v>TD_PIM_JOB_05
Positive; Chuyển trạng thái
Automation: P2</x:v>
      </x:c>
    </x:row>
    <x:row r="30" ht="140" customHeight="1">
      <x:c r="A30" s="21" t="str">
        <x:v>TC_PIM_JOB_022</x:v>
      </x:c>
      <x:c r="B30" s="21" t="str">
        <x:v>Replace Current nhưng không chọn tệp mới</x:v>
      </x:c>
      <x:c r="C30" s="21" t="str">
        <x:v>Tiền điều kiện: Admin đã đăng nhập. Nhân viên F_JOB tồn tại. Danh mục công việc có lựa chọn hợp lệ.
Input: F_JOB có tệp hợp đồng; Replace Current; new file rỗng
1. Mở Contract Details.
2. Chọn Replace Current, không chọn file mới.
3. Save.
Kết thúc: khôi phục fixture theo Test Data.</x:v>
      </x:c>
      <x:c r="D30" s="21" t="str">
        <x:v>Vùng tệp mới hiển thị Required. Không mất tệp hợp đồng cũ.</x:v>
      </x:c>
      <x:c r="E30" s="21" t="str">
        <x:v>Không phụ thuộc TC khác; dùng fixture setup.</x:v>
      </x:c>
      <x:c r="F30" s="19" t="str">
        <x:v>Untested</x:v>
      </x:c>
      <x:c r="G30" s="20"/>
      <x:c r="H30" s="18" t="str">
        <x:v>TD_PIM_JOB_05
Negative; Bảng quyết định
Automation: P2</x:v>
      </x:c>
    </x:row>
    <x:row r="31" ht="140" customHeight="1">
      <x:c r="A31" s="18" t="str">
        <x:v>TC_PIM_JOB_023</x:v>
      </x:c>
      <x:c r="B31" s="18" t="str">
        <x:v>Xóa riêng tệp hợp đồng hiện tại</x:v>
      </x:c>
      <x:c r="C31" s="18" t="str">
        <x:v>Tiền điều kiện: Admin đã đăng nhập. Nhân viên F_JOB tồn tại. Danh mục công việc có lựa chọn hợp lệ.
Input: F_JOB có contract_v1.pdf của nhóm; chọn Delete Current
1. Mở Contract Details, ghi hai ngày hiện có.
2. Chọn Delete Current, Save.
3. Tải lại và kiểm tra vùng tệp và ngày.
Kết thúc: khôi phục fixture theo Test Data.</x:v>
      </x:c>
      <x:c r="D31" s="18" t="str">
        <x:v>Tệp hiện tại được xóa. Hai ngày hợp đồng không bị đổi ngoài ý muốn.</x:v>
      </x:c>
      <x:c r="E31" s="18" t="str">
        <x:v>Không phụ thuộc TC khác; dùng fixture setup.</x:v>
      </x:c>
      <x:c r="F31" s="19" t="str">
        <x:v>Untested</x:v>
      </x:c>
      <x:c r="G31" s="20"/>
      <x:c r="H31" s="18" t="str">
        <x:v>TD_PIM_JOB_05
Positive; Chuyển trạng thái
Automation: P2
Chỉ xóa tệp fixture của nhóm.</x:v>
      </x:c>
    </x:row>
    <x:row r="32" ht="140" customHeight="1">
      <x:c r="A32" s="21" t="str">
        <x:v>TC_PIM_JOB_024</x:v>
      </x:c>
      <x:c r="B32" s="21" t="str">
        <x:v>Thêm attachment tại tab Job</x:v>
      </x:c>
      <x:c r="C32" s="21" t="str">
        <x:v>Tiền điều kiện: Admin đã đăng nhập. Nhân viên F_JOB tồn tại. Danh mục công việc có lựa chọn hợp lệ.
Input: attachment_valid.pdf; Description=G01N01 Job attachment
1. Mở Job F_JOB &gt; Attachments &gt; Add.
2. Chọn PDF, nhập mô tả, Save.
3. Tải lại tab Job và đối chiếu đúng dòng.
Kết thúc: khôi phục fixture theo Test Data.</x:v>
      </x:c>
      <x:c r="D32" s="21" t="str">
        <x:v>Có dòng attachment với đúng tên và mô tả tại tab Job, không nhầm attachment của Personal Details.</x:v>
      </x:c>
      <x:c r="E32" s="21" t="str">
        <x:v>Không phụ thuộc TC khác; dùng fixture setup.</x:v>
      </x:c>
      <x:c r="F32" s="19" t="str">
        <x:v>Untested</x:v>
      </x:c>
      <x:c r="G32" s="20"/>
      <x:c r="H32" s="18" t="str">
        <x:v>TD_PIM_JOB_05
Positive; Chuyển trạng thái
Automation: P2</x:v>
      </x:c>
    </x:row>
    <x:row r="33" ht="140" customHeight="1">
      <x:c r="A33" s="18" t="str">
        <x:v>TC_PIM_JOB_025</x:v>
      </x:c>
      <x:c r="B33" s="18" t="str">
        <x:v>Hủy thêm attachment tại tab Job</x:v>
      </x:c>
      <x:c r="C33" s="18" t="str">
        <x:v>Tiền điều kiện: Admin đã đăng nhập. Nhân viên F_JOB tồn tại. Danh mục công việc có lựa chọn hợp lệ.
Input: attachment_valid.pdf; Description=G01N01 Job cancel
1. Mở Job F_JOB &gt; Attachments &gt; Add.
2. Chọn file và nhập mô tả, bấm Cancel thay vì Save.
3. Tải lại tab Job.
Kết thúc: khôi phục fixture theo Test Data.</x:v>
      </x:c>
      <x:c r="D33" s="18" t="str">
        <x:v>Form thêm đóng. Không có dòng mới với mô tả G01N01 Job cancel.</x:v>
      </x:c>
      <x:c r="E33" s="18" t="str">
        <x:v>Không phụ thuộc TC khác; dùng fixture setup.</x:v>
      </x:c>
      <x:c r="F33" s="19" t="str">
        <x:v>Untested</x:v>
      </x:c>
      <x:c r="G33" s="20"/>
      <x:c r="H33" s="18" t="str">
        <x:v>TD_PIM_JOB_05
Negative; Chuyển trạng thái
Automation: P2</x:v>
      </x:c>
    </x:row>
  </x:sheetData>
  <x:mergeCells>
    <x:mergeCell ref="B2:H2"/>
    <x:mergeCell ref="B3:H3"/>
    <x:mergeCell ref="B4:H4"/>
    <x:mergeCell ref="F5:H5"/>
    <x:mergeCell ref="F6:H6"/>
  </x:mergeCells>
  <x:conditionalFormatting sqref="F9:F33">
    <x:cfRule type="containsText" dxfId="8" priority="1" operator="containsText" text="Passed"/>
    <x:cfRule type="containsText" dxfId="9" priority="2" operator="containsText" text="Failed"/>
    <x:cfRule type="containsText" dxfId="10" priority="3" operator="containsText" text="Blocked"/>
    <x:cfRule type="containsText" dxfId="11" priority="4" operator="containsText" text="Skipped"/>
  </x:conditionalFormatting>
  <x:dataValidations count="1">
    <x:dataValidation type="list" sqref="F9:F33">
      <x:formula1>"Passed,Failed,Untested,Blocked,Skipped"</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6" hidden="0" customWidth="1"/>
    <x:col min="2" max="2" width="52" hidden="0" customWidth="1"/>
    <x:col min="3" max="3" width="62" hidden="0" customWidth="1"/>
    <x:col min="4" max="4" width="61" hidden="0" customWidth="1"/>
    <x:col min="5" max="5" width="48" hidden="0" customWidth="1"/>
    <x:col min="6" max="6" width="36" hidden="0" customWidth="1"/>
  </x:cols>
  <x:sheetData>
    <x:row r="1">
      <x:c r="A1" s="3"/>
      <x:c r="B1" s="3"/>
      <x:c r="C1" s="3"/>
      <x:c r="D1" s="3"/>
      <x:c r="E1" s="3"/>
      <x:c r="F1" s="3"/>
    </x:row>
    <x:row r="2" ht="42" customHeight="1">
      <x:c r="A2" s="5" t="str">
        <x:v>PIM TEST DATA</x:v>
      </x:c>
      <x:c r="B2" s="5"/>
      <x:c r="C2" s="5"/>
      <x:c r="D2" s="5"/>
      <x:c r="E2" s="5"/>
      <x:c r="F2" s="5"/>
    </x:row>
    <x:row r="3">
      <x:c r="A3" s="3"/>
      <x:c r="B3" s="3"/>
      <x:c r="C3" s="3"/>
      <x:c r="D3" s="3"/>
      <x:c r="E3" s="3"/>
      <x:c r="F3" s="3"/>
    </x:row>
    <x:row r="4" ht="32" customHeight="1">
      <x:c r="A4" s="13" t="str">
        <x:v>Data ID</x:v>
      </x:c>
      <x:c r="B4" s="13" t="str">
        <x:v>Giá trị / fixture</x:v>
      </x:c>
      <x:c r="C4" s="13" t="str">
        <x:v>Cách chuẩn bị</x:v>
      </x:c>
      <x:c r="D4" s="13" t="str">
        <x:v>Sử dụng</x:v>
      </x:c>
      <x:c r="E4" s="13" t="str">
        <x:v>Dọn dẹp / khôi phục</x:v>
      </x:c>
      <x:c r="F4" s="13" t="str">
        <x:v>Quy tắc</x:v>
      </x:c>
    </x:row>
    <x:row r="5" ht="110" customHeight="1">
      <x:c r="A5" s="3" t="str">
        <x:v>RUN</x:v>
      </x:c>
      <x:c r="B5" s="3" t="str">
        <x:v>G01N01 (tên); G1N01 (tiền tố ID)</x:v>
      </x:c>
      <x:c r="C5" s="3" t="str">
        <x:v>Đổi N01 thành mã lần chạy chưa dùng. Các ID mẫu trong TC đổi đồng nhất. Kiểm tra không trùng trước setup.</x:v>
      </x:c>
      <x:c r="D5" s="3" t="str">
        <x:v>Toàn bộ 75 TC</x:v>
      </x:c>
      <x:c r="E5" s="3" t="str">
        <x:v>Ghi employee key trên URL để mở lại khi tên/ID đổi.</x:v>
      </x:c>
      <x:c r="F5" s="3" t="str">
        <x:v>Chỉ dữ liệu giả của nhóm.</x:v>
      </x:c>
    </x:row>
    <x:row r="6" ht="110" customHeight="1">
      <x:c r="A6" s="3" t="str">
        <x:v>ACCOUNT</x:v>
      </x:c>
      <x:c r="B6" s="3" t="str">
        <x:v>Admin / admin123</x:v>
      </x:c>
      <x:c r="C6" s="3" t="str">
        <x:v>Dùng thông tin demo hiển thị tại trang đăng nhập. Không dùng tài khoản thật.</x:v>
      </x:c>
      <x:c r="D6" s="3" t="str">
        <x:v>Tiền điều kiện chung</x:v>
      </x:c>
      <x:c r="E6" s="3" t="str">
        <x:v>Không đổi mật khẩu, không khóa tài khoản demo.</x:v>
      </x:c>
      <x:c r="F6" s="3" t="str">
        <x:v>Chưa có kết quả execution.</x:v>
      </x:c>
    </x:row>
    <x:row r="7" ht="110" customHeight="1">
      <x:c r="A7" s="3" t="str">
        <x:v>F_DUP</x:v>
      </x:c>
      <x:c r="B7" s="3" t="str">
        <x:v>ID=G1N01D0001; First=G01N01; Last=NhutDuplicate</x:v>
      </x:c>
      <x:c r="C7" s="3" t="str">
        <x:v>Tạo trước run bằng Add Employee, không tạo login. Ghi employee key.</x:v>
      </x:c>
      <x:c r="D7" s="3" t="str">
        <x:v>TC_PIM_EMP_014, 020, 024</x:v>
      </x:c>
      <x:c r="E7" s="3" t="str">
        <x:v>Chỉ xóa nhân viên fixture của nhóm sau khi lưu bằng chứng.</x:v>
      </x:c>
      <x:c r="F7" s="3" t="str">
        <x:v>ID phải thực sự tồn tại.</x:v>
      </x:c>
    </x:row>
    <x:row r="8" ht="110" customHeight="1">
      <x:c r="A8" s="3" t="str">
        <x:v>F_PERSON</x:v>
      </x:c>
      <x:c r="B8" s="3" t="str">
        <x:v>ID=G1N01P0001; First=G01N01; Middle=Minh; Last=NhutPerson</x:v>
      </x:c>
      <x:c r="C8" s="3" t="str">
        <x:v>Tạo trước run; ghi employee key và snapshot các giá trị cá nhân gốc.</x:v>
      </x:c>
      <x:c r="D8" s="3" t="str">
        <x:v>PIM_PERSONAL; TC_PIM_EMP_021</x:v>
      </x:c>
      <x:c r="E8" s="3" t="str">
        <x:v>Khôi phục tên, ID, các trường cá nhân sau từng TC. Xóa tệp fixture còn lại.</x:v>
      </x:c>
      <x:c r="F8" s="3" t="str">
        <x:v>Mỗi TC bắt đầu từ baseline.</x:v>
      </x:c>
    </x:row>
    <x:row r="9" ht="110" customHeight="1">
      <x:c r="A9" s="3" t="str">
        <x:v>F_JOB</x:v>
      </x:c>
      <x:c r="B9" s="3" t="str">
        <x:v>ID=G1N01J0001; First=G01N01; Last=NhutJob</x:v>
      </x:c>
      <x:c r="C9" s="3" t="str">
        <x:v>Tạo trước run; ghi employee key, giá trị Job và contract gốc.</x:v>
      </x:c>
      <x:c r="D9" s="3" t="str">
        <x:v>Toàn bộ PIM_JOB</x:v>
      </x:c>
      <x:c r="E9" s="3" t="str">
        <x:v>Setup riêng trạng thái có/không có contract theo từng TC. Khôi phục sau TC.</x:v>
      </x:c>
      <x:c r="F9" s="3" t="str">
        <x:v>Không dùng nhân viên có sẵn của người khác.</x:v>
      </x:c>
    </x:row>
    <x:row r="10" ht="110" customHeight="1">
      <x:c r="A10" s="3" t="str">
        <x:v>F_FILTER</x:v>
      </x:c>
      <x:c r="B10" s="3" t="str">
        <x:v>Hai fixture: G1N01F0001 và G1N01F0002</x:v>
      </x:c>
      <x:c r="C10" s="3" t="str">
        <x:v>F0001 gán TITLE_A + STATUS_A; F0002 khác ít nhất một tiêu chí. Ghi nhãn thực tế trước run.</x:v>
      </x:c>
      <x:c r="D10" s="3" t="str">
        <x:v>TC_PIM_EMP_023</x:v>
      </x:c>
      <x:c r="E10" s="3" t="str">
        <x:v>Khôi phục hoặc xóa hai fixture sau run.</x:v>
      </x:c>
      <x:c r="F10" s="3" t="str">
        <x:v>Có positive và negative control.</x:v>
      </x:c>
    </x:row>
    <x:row r="11" ht="110" customHeight="1">
      <x:c r="A11" s="3" t="str">
        <x:v>CATALOG_A</x:v>
      </x:c>
      <x:c r="B11" s="3" t="str">
        <x:v>TITLE_A, CATEGORY_A, SUBUNIT_A, LOCATION_A, STATUS_A, NATIONALITY_A</x:v>
      </x:c>
      <x:c r="C11" s="3" t="str">
        <x:v>Chọn lựa chọn không rỗng đang có trên từng dropdown. Với F_JOB, chọn khác baseline. Ghi chính xác nhãn vào run log trước test.</x:v>
      </x:c>
      <x:c r="D11" s="3" t="str">
        <x:v>Dropdown cá nhân và Job; filter danh sách</x:v>
      </x:c>
      <x:c r="E11" s="3" t="str">
        <x:v>Không tạo/xóa danh mục chung.</x:v>
      </x:c>
      <x:c r="F11" s="3" t="str">
        <x:v>Không cố định nhãn có thể bị demo reset.</x:v>
      </x:c>
    </x:row>
    <x:row r="12" ht="110" customHeight="1">
      <x:c r="A12" s="3" t="str">
        <x:v>NAME_30</x:v>
      </x:c>
      <x:c r="B12" s="3" t="str">
        <x:v>AAAAAAAAAAAAAAAAAAAAAAAAAAAAAA</x:v>
      </x:c>
      <x:c r="C12" s="3" t="str">
        <x:v>Chuỗi 30 chữ A, không thêm dấu cách.</x:v>
      </x:c>
      <x:c r="D12" s="3" t="str">
        <x:v>Biên độ dài tên</x:v>
      </x:c>
      <x:c r="E12" s="3" t="str">
        <x:v>Reset tên về baseline.</x:v>
      </x:c>
      <x:c r="F12" s="3" t="str">
        <x:v>30 ký tự.</x:v>
      </x:c>
    </x:row>
    <x:row r="13" ht="110" customHeight="1">
      <x:c r="A13" s="3" t="str">
        <x:v>NAME_31</x:v>
      </x:c>
      <x:c r="B13" s="3" t="str">
        <x:v>AAAAAAAAAAAAAAAAAAAAAAAAAAAAAAA</x:v>
      </x:c>
      <x:c r="C13" s="3" t="str">
        <x:v>Chuỗi 31 chữ A. Nếu UI chặn nhập, ghi giá trị thực nhập và giới hạn.</x:v>
      </x:c>
      <x:c r="D13" s="3" t="str">
        <x:v>Negative độ dài tên</x:v>
      </x:c>
      <x:c r="E13" s="3" t="str">
        <x:v>Không giữ tên sai sau test.</x:v>
      </x:c>
      <x:c r="F13" s="3" t="str">
        <x:v>31 ký tự.</x:v>
      </x:c>
    </x:row>
    <x:row r="14" ht="110" customHeight="1">
      <x:c r="A14" s="3" t="str">
        <x:v>TEXT_30_31</x:v>
      </x:c>
      <x:c r="B14" s="3" t="str">
        <x:v>B × 30 / B × 31</x:v>
      </x:c>
      <x:c r="C14" s="3" t="str">
        <x:v>Dùng đúng 30 hoặc 31 chữ B.</x:v>
      </x:c>
      <x:c r="D14" s="3" t="str">
        <x:v>Other Id, License Number</x:v>
      </x:c>
      <x:c r="E14" s="3" t="str">
        <x:v>Khôi phục giá trị cũ.</x:v>
      </x:c>
      <x:c r="F14" s="3" t="str">
        <x:v>Max 30 theo baseline source.</x:v>
      </x:c>
    </x:row>
    <x:row r="15" ht="110" customHeight="1">
      <x:c r="A15" s="3" t="str">
        <x:v>DESC_200_201</x:v>
      </x:c>
      <x:c r="B15" s="3" t="str">
        <x:v>D × 200 / D × 201</x:v>
      </x:c>
      <x:c r="C15" s="3" t="str">
        <x:v>Tạo chuỗi đúng số lượng, không xuống dòng.</x:v>
      </x:c>
      <x:c r="D15" s="3" t="str">
        <x:v>Description của attachments</x:v>
      </x:c>
      <x:c r="E15" s="3" t="str">
        <x:v>Xóa riêng attachment fixture.</x:v>
      </x:c>
      <x:c r="F15" s="3" t="str">
        <x:v>Max 200 theo baseline source.</x:v>
      </x:c>
    </x:row>
    <x:row r="16" ht="110" customHeight="1">
      <x:c r="A16" s="3" t="str">
        <x:v>DATES</x:v>
      </x:c>
      <x:c r="B16" s="3" t="str">
        <x:v>DOB=29/02/2000; Joined=01/10/2024; Contract=01/01/2026–31/12/2026</x:v>
      </x:c>
      <x:c r="C16" s="3" t="str">
        <x:v>Nhập theo định dạng UI hiện tại. Ngày là giá trị ngữ nghĩa, không mặc định chuỗi ISO được chấp nhận.</x:v>
      </x:c>
      <x:c r="D16" s="3" t="str">
        <x:v>Personal và Job</x:v>
      </x:c>
      <x:c r="E16" s="3" t="str">
        <x:v>Ghi và khôi phục ngày gốc.</x:v>
      </x:c>
      <x:c r="F16" s="3" t="str">
        <x:v>Không giả định DOB tương lai bị cấm.</x:v>
      </x:c>
    </x:row>
    <x:row r="17" ht="110" customHeight="1">
      <x:c r="A17" s="3" t="str">
        <x:v>PHOTO_VALID</x:v>
      </x:c>
      <x:c r="B17" s="3" t="str">
        <x:v>photo_valid.jpg; photo_valid.png</x:v>
      </x:c>
      <x:c r="C17" s="3" t="str">
        <x:v>Ảnh thật 200×200 px, dung lượng &gt;0 và &lt;1 MiB; đúng MIME, không chỉ đổi đuôi.</x:v>
      </x:c>
      <x:c r="D17" s="3" t="str">
        <x:v>TC_PIM_EMP_016–017</x:v>
      </x:c>
      <x:c r="E17" s="3" t="str">
        <x:v>Xóa hồ sơ thử của nhóm sau run.</x:v>
      </x:c>
      <x:c r="F17" s="3" t="str">
        <x:v>Ảnh profile giới hạn 1 MiB.</x:v>
      </x:c>
    </x:row>
    <x:row r="18" ht="110" customHeight="1">
      <x:c r="A18" s="3" t="str">
        <x:v>PHOTO_INVALID</x:v>
      </x:c>
      <x:c r="B18" s="3" t="str">
        <x:v>photo_invalid.pdf; photo_over_1m.png</x:v>
      </x:c>
      <x:c r="C18" s="3" t="str">
        <x:v>PDF thực; PNG hợp lệ 1.048.577 byte. Xem Properties trước chạy.</x:v>
      </x:c>
      <x:c r="D18" s="3" t="str">
        <x:v>TC_PIM_EMP_018–019</x:v>
      </x:c>
      <x:c r="E18" s="3" t="str">
        <x:v>Không tải lên dữ liệu nhạy cảm.</x:v>
      </x:c>
      <x:c r="F18" s="3" t="str">
        <x:v>Chỉ ảnh profile dùng giới hạn cố định này.</x:v>
      </x:c>
    </x:row>
    <x:row r="19" ht="110" customHeight="1">
      <x:c r="A19" s="3" t="str">
        <x:v>ATTACHMENT</x:v>
      </x:c>
      <x:c r="B19" s="3" t="str">
        <x:v>attachment_valid.pdf; contract_v1.pdf; contract_v2.pdf</x:v>
      </x:c>
      <x:c r="C19" s="3" t="str">
        <x:v>PDF giả lập có nhãn G01N01 và nội dung phân biệt v1/v2; không chứa thông tin thật.</x:v>
      </x:c>
      <x:c r="D19" s="3" t="str">
        <x:v>Personal/Job attachments và Contract</x:v>
      </x:c>
      <x:c r="E19" s="3" t="str">
        <x:v>Chỉ sửa/xóa tệp có tiền tố/nhãn fixture nhóm.</x:v>
      </x:c>
      <x:c r="F19" s="3" t="str">
        <x:v>Tệp hợp lệ phải &gt;0 byte.</x:v>
      </x:c>
    </x:row>
    <x:row r="20" ht="110" customHeight="1">
      <x:c r="A20" s="3" t="str">
        <x:v>ATTACH_LIMIT</x:v>
      </x:c>
      <x:c r="B20" s="3" t="str">
        <x:v>Giá trị hiện tại: điền trước run</x:v>
      </x:c>
      <x:c r="C20" s="3" t="str">
        <x:v>Đọc Max Attachment Size và Allowed File Types tại cấu hình hoặc hint. Ghi giới hạn, MIME và thời điểm.</x:v>
      </x:c>
      <x:c r="D20" s="3" t="str">
        <x:v>TC_PIM_JOB_018–019; các TC upload</x:v>
      </x:c>
      <x:c r="E20" s="3" t="str">
        <x:v>Tệp quá giới hạn = giới hạn byte +1. Không đổi config dùng chung.</x:v>
      </x:c>
      <x:c r="F20" s="3" t="str">
        <x:v>Nếu không đọc được config thì Blocked, không phỏng đoán.</x:v>
      </x:c>
    </x:row>
    <x:row r="21" ht="110" customHeight="1">
      <x:c r="A21" s="3" t="str">
        <x:v>RESTORE</x:v>
      </x:c>
      <x:c r="B21" s="3" t="str">
        <x:v>Giá trị gốc và employee key của từng fixture</x:v>
      </x:c>
      <x:c r="C21" s="3" t="str">
        <x:v>Lưu baseline ở run log trước chạy. Trước mỗi TC, reset UI/form, dữ liệu và trạng thái tệp theo tiền điều kiện.</x:v>
      </x:c>
      <x:c r="D21" s="3" t="str">
        <x:v>Độc lập giữa các TC</x:v>
      </x:c>
      <x:c r="E21" s="3" t="str">
        <x:v>Chỉ xóa dữ liệu chính nhóm đã tạo.</x:v>
      </x:c>
      <x:c r="F21" s="3" t="str">
        <x:v>Không dựa vào kết quả TC trước.</x:v>
      </x:c>
    </x:row>
    <x:row r="22" ht="110" customHeight="1">
      <x:c r="A22" s="3" t="str">
        <x:v>STATUS</x:v>
      </x:c>
      <x:c r="B22" s="3" t="str">
        <x:v>Passed, Failed, Untested, Blocked, Skipped</x:v>
      </x:c>
      <x:c r="C22" s="3" t="str">
        <x:v>Passed: mọi expected được kiểm tra và đúng. Failed: đã chạy, ít nhất một expected sai. Blocked: không chạy được do tiền điều kiện/môi trường.</x:v>
      </x:c>
      <x:c r="D22" s="3" t="str">
        <x:v>Cột Result và Test Report</x:v>
      </x:c>
      <x:c r="E22" s="3" t="str">
        <x:v>Untested: chưa chạy. Skipped: chủ động không chạy, ghi lý do.</x:v>
      </x:c>
      <x:c r="F22" s="3" t="str">
        <x:v>Playback hoàn tất chưa đủ chứng minh Passed.</x:v>
      </x:c>
    </x:row>
    <x:row r="23" ht="110" customHeight="1">
      <x:c r="A23" s="3" t="str">
        <x:v>EVIDENCE</x:v>
      </x:c>
      <x:c r="B23" s="3" t="str">
        <x:v>Case ID; actual; time; browser; screenshot/log path</x:v>
      </x:c>
      <x:c r="C23" s="3" t="str">
        <x:v>Khi chạy, thay Note bằng actual + đường dẫn bằng chứng; giữ mã TD và mức ưu tiên. Ghi ngày thực chạy.</x:v>
      </x:c>
      <x:c r="D23" s="3" t="str">
        <x:v>Tất cả các TC đã thực thi</x:v>
      </x:c>
      <x:c r="E23" s="3" t="str">
        <x:v>Không đặt link/số liệu giả.</x:v>
      </x:c>
      <x:c r="F23" s="3" t="str">
        <x:v>Lỗi script/locator phân biệt lỗi sản phẩm.</x:v>
      </x:c>
    </x:row>
    <x:row r="24" ht="110" customHeight="1">
      <x:c r="A24" s="3" t="str">
        <x:v>BASELINE</x:v>
      </x:c>
      <x:c r="B24" s="3" t="str">
        <x:v>OrangeHRM Open Source 5.9; ngày phân tích 17/10/2026</x:v>
      </x:c>
      <x:c r="C24" s="3" t="str">
        <x:v>Đối chiếu source chính thức và UI demo trước run. Nếu demo khác baseline, ghi phiên bản và cập nhật design trước chạy.</x:v>
      </x:c>
      <x:c r="D24" s="3" t="str">
        <x:v>Độ dài, validation, contract và attachments</x:v>
      </x:c>
      <x:c r="E24" s="3" t="str">
        <x:v>Demo công khai có thể reset và bị người khác thay đổi.</x:v>
      </x:c>
      <x:c r="F24" s="3" t="str">
        <x:v>Kiểm thử chức năng, không scan bảo mật hay load test.</x:v>
      </x:c>
    </x:row>
    <x:row r="25">
      <x:c r="A25" s="3"/>
      <x:c r="B25" s="3"/>
      <x:c r="C25" s="3"/>
      <x:c r="D25" s="3"/>
      <x:c r="E25" s="3"/>
      <x:c r="F25" s="3"/>
    </x:row>
    <x:row r="26">
      <x:c r="A26" s="3"/>
      <x:c r="B26" s="3"/>
      <x:c r="C26" s="3"/>
      <x:c r="D26" s="3"/>
      <x:c r="E26" s="3"/>
      <x:c r="F26" s="3"/>
    </x:row>
    <x:row r="27">
      <x:c r="A27" s="13" t="str">
        <x:v>Nguồn chính thức</x:v>
      </x:c>
      <x:c r="B27" s="13" t="str">
        <x:v>URL</x:v>
      </x:c>
      <x:c r="C27" s="13" t="str">
        <x:v>Nội dung đối chiếu</x:v>
      </x:c>
      <x:c r="D27" s="13" t="str"/>
      <x:c r="E27" s="13" t="str"/>
      <x:c r="F27" s="13" t="str"/>
    </x:row>
    <x:row r="28" ht="70" customHeight="1">
      <x:c r="A28" s="3" t="str">
        <x:v>Website</x:v>
      </x:c>
      <x:c r="B28" s="3" t="str">
        <x:v>https://opensource-demo.orangehrmlive.com/</x:v>
      </x:c>
      <x:c r="C28" s="3" t="str">
        <x:v>Giao diện môi trường test</x:v>
      </x:c>
      <x:c r="D28" s="3"/>
      <x:c r="E28" s="3"/>
      <x:c r="F28" s="3"/>
    </x:row>
    <x:row r="29" ht="70" customHeight="1">
      <x:c r="A29" s="3" t="str">
        <x:v>Add Employee</x:v>
      </x:c>
      <x:c r="B29" s="3" t="str">
        <x:v>https://github.com/orangehrm/orangehrm/blob/v5.9/src/client/src/orangehrmPimPlugin/pages/employee/SaveEmployee.vue</x:v>
      </x:c>
      <x:c r="C29" s="3" t="str">
        <x:v>Required, max name 30, ID 10, uniqueness, profile photo</x:v>
      </x:c>
      <x:c r="D29" s="3"/>
      <x:c r="E29" s="3"/>
      <x:c r="F29" s="3"/>
    </x:row>
    <x:row r="30" ht="70" customHeight="1">
      <x:c r="A30" s="3" t="str">
        <x:v>Personal Details</x:v>
      </x:c>
      <x:c r="B30" s="3" t="str">
        <x:v>https://github.com/orangehrm/orangehrm/blob/v5.9/src/client/src/orangehrmPimPlugin/pages/employee/EmployeePersonalDetails.vue</x:v>
      </x:c>
      <x:c r="C30" s="3" t="str">
        <x:v>Name/ID/Other Id/License, ngày và danh mục</x:v>
      </x:c>
      <x:c r="D30" s="3"/>
      <x:c r="E30" s="3"/>
      <x:c r="F30" s="3"/>
    </x:row>
    <x:row r="31" ht="70" customHeight="1">
      <x:c r="A31" s="3" t="str">
        <x:v>Job Details</x:v>
      </x:c>
      <x:c r="B31" s="3" t="str">
        <x:v>https://github.com/orangehrm/orangehrm/blob/v5.9/src/client/src/orangehrmPimPlugin/pages/employee/EmployeeJob.vue</x:v>
      </x:c>
      <x:c r="C31" s="3" t="str">
        <x:v>Contract dates, upload và keep/delete/replace</x:v>
      </x:c>
      <x:c r="D31" s="3"/>
      <x:c r="E31" s="3"/>
      <x:c r="F31" s="3"/>
    </x:row>
    <x:row r="32" ht="70" customHeight="1">
      <x:c r="A32" s="3" t="str">
        <x:v>Attachments</x:v>
      </x:c>
      <x:c r="B32" s="3" t="str">
        <x:v>https://github.com/orangehrm/orangehrm/blob/v5.9/src/client/src/orangehrmPimPlugin/components/SaveAttachment.vue</x:v>
      </x:c>
      <x:c r="C32" s="3" t="str">
        <x:v>File bắt buộc, mô tả max 200, giới hạn từ cấu hình</x:v>
      </x:c>
      <x:c r="D32" s="3"/>
      <x:c r="E32" s="3"/>
      <x:c r="F32" s="3"/>
    </x:row>
    <x:row r="33" ht="70" customHeight="1">
      <x:c r="A33" s="3" t="str">
        <x:v>Validation</x:v>
      </x:c>
      <x:c r="B33" s="3" t="str">
        <x:v>https://github.com/orangehrm/orangehrm/blob/v5.9/src/client/src/core/util/validation/rules.ts</x:v>
      </x:c>
      <x:c r="C33" s="3" t="str">
        <x:v>Whitespace, valid date, max file và end date strictly after start</x:v>
      </x:c>
      <x:c r="D33" s="3"/>
      <x:c r="E33" s="3"/>
      <x:c r="F33" s="3"/>
    </x:row>
    <x:row r="34">
      <x:c r="A34" s="3"/>
      <x:c r="B34" s="3"/>
      <x:c r="C34" s="3"/>
      <x:c r="D34" s="3"/>
      <x:c r="E34" s="3"/>
      <x:c r="F34" s="3"/>
    </x:row>
    <x:row r="35">
      <x:c r="A35" s="3"/>
      <x:c r="B35" s="3"/>
      <x:c r="C35" s="3"/>
      <x:c r="D35" s="3"/>
      <x:c r="E35" s="3"/>
      <x:c r="F35" s="3"/>
    </x:row>
    <x:row r="36">
      <x:c r="A36" s="3"/>
      <x:c r="B36" s="3"/>
      <x:c r="C36" s="3"/>
      <x:c r="D36" s="3"/>
      <x:c r="E36" s="3"/>
      <x:c r="F36" s="3"/>
    </x:row>
    <x:row r="37">
      <x:c r="A37" s="3"/>
      <x:c r="B37" s="3"/>
      <x:c r="C37" s="3"/>
      <x:c r="D37" s="3"/>
      <x:c r="E37" s="3"/>
      <x:c r="F37" s="3"/>
    </x:row>
    <x:row r="38">
      <x:c r="A38" s="3"/>
      <x:c r="B38" s="3"/>
      <x:c r="C38" s="3"/>
      <x:c r="D38" s="3"/>
      <x:c r="E38" s="3"/>
      <x:c r="F38" s="3"/>
    </x:row>
    <x:row r="39">
      <x:c r="A39" s="3"/>
      <x:c r="B39" s="3"/>
      <x:c r="C39" s="3"/>
      <x:c r="D39" s="3"/>
      <x:c r="E39" s="3"/>
      <x:c r="F39" s="3"/>
    </x:row>
    <x:row r="40">
      <x:c r="A40" s="3"/>
      <x:c r="B40" s="3"/>
      <x:c r="C40" s="3"/>
      <x:c r="D40" s="3"/>
      <x:c r="E40" s="3"/>
      <x:c r="F40" s="3"/>
    </x:row>
  </x:sheetData>
  <x:mergeCells>
    <x:mergeCell ref="A2:F2"/>
  </x:mergeCells>
  <x:pageMargins left="0.7" right="0.7" top="0.75" bottom="0.75" header="0.3" footer="0.3"/>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9" hidden="0" customWidth="1"/>
    <x:col min="2" max="2" width="28" hidden="0" customWidth="1"/>
    <x:col min="3" max="3" width="70" hidden="0" customWidth="1"/>
    <x:col min="4" max="4" width="62" hidden="0" customWidth="1"/>
    <x:col min="5" max="5" width="38" hidden="0" customWidth="1"/>
    <x:col min="6" max="6" width="20" hidden="0" customWidth="1"/>
  </x:cols>
  <x:sheetData>
    <x:row r="1">
      <x:c r="A1" s="3"/>
      <x:c r="B1" s="3"/>
      <x:c r="C1" s="3"/>
      <x:c r="D1" s="3"/>
      <x:c r="E1" s="3"/>
      <x:c r="F1" s="3"/>
    </x:row>
    <x:row r="2" ht="42" customHeight="1">
      <x:c r="A2" s="5" t="str">
        <x:v>AUTOMATION PLAN</x:v>
      </x:c>
      <x:c r="B2" s="5"/>
      <x:c r="C2" s="5"/>
      <x:c r="D2" s="5"/>
      <x:c r="E2" s="5"/>
      <x:c r="F2" s="5"/>
    </x:row>
    <x:row r="3">
      <x:c r="A3" s="3"/>
      <x:c r="B3" s="3"/>
      <x:c r="C3" s="3"/>
      <x:c r="D3" s="3"/>
      <x:c r="E3" s="3"/>
      <x:c r="F3" s="3"/>
    </x:row>
    <x:row r="4">
      <x:c r="A4" s="13" t="str">
        <x:v>No.</x:v>
      </x:c>
      <x:c r="B4" s="13" t="str">
        <x:v>Giai đoạn</x:v>
      </x:c>
      <x:c r="C4" s="13" t="str">
        <x:v>Công việc</x:v>
      </x:c>
      <x:c r="D4" s="13" t="str">
        <x:v>Assertion / bằng chứng</x:v>
      </x:c>
      <x:c r="E4" s="13" t="str">
        <x:v>Phạm vi / điều kiện</x:v>
      </x:c>
      <x:c r="F4" s="13" t="str">
        <x:v>Trạng thái</x:v>
      </x:c>
    </x:row>
    <x:row r="5" ht="104" customHeight="1">
      <x:c r="A5" s="3" t="n">
        <x:v>1</x:v>
      </x:c>
      <x:c r="B5" s="3" t="str">
        <x:v>Chuẩn bị môi trường</x:v>
      </x:c>
      <x:c r="C5" s="3" t="str">
        <x:v>Xác nhận URL, phiên bản, đăng nhập Admin; thiết lập run token riêng; ghi browser và thời gian.</x:v>
      </x:c>
      <x:c r="D5" s="3" t="str">
        <x:v>Mở được PIM; quyền thao tác fixture.</x:v>
      </x:c>
      <x:c r="E5" s="3" t="str">
        <x:v>Không dùng dữ liệu cá nhân thật.</x:v>
      </x:c>
      <x:c r="F5" s="3" t="str">
        <x:v>Chưa thực hiện</x:v>
      </x:c>
    </x:row>
    <x:row r="6" ht="104" customHeight="1">
      <x:c r="A6" s="3" t="n">
        <x:v>2</x:v>
      </x:c>
      <x:c r="B6" s="3" t="str">
        <x:v>Chuẩn bị test data</x:v>
      </x:c>
      <x:c r="C6" s="3" t="str">
        <x:v>Tạo F_DUP, F_PERSON, F_JOB, F_FILTER và baseline; chuẩn bị file đúng MIME và dung lượng.</x:v>
      </x:c>
      <x:c r="D6" s="3" t="str">
        <x:v>Đối chiếu Employee Id, employee key và file Properties.</x:v>
      </x:c>
      <x:c r="E6" s="3" t="str">
        <x:v>Đọc ATTACH_LIMIT trước run.</x:v>
      </x:c>
      <x:c r="F6" s="3" t="str">
        <x:v>Chưa thực hiện</x:v>
      </x:c>
    </x:row>
    <x:row r="7" ht="104" customHeight="1">
      <x:c r="A7" s="3" t="n">
        <x:v>3</x:v>
      </x:c>
      <x:c r="B7" s="3" t="str">
        <x:v>Smoke / khả thi</x:v>
      </x:c>
      <x:c r="C7" s="3" t="str">
        <x:v>Record một luồng tạo nhân viên và một luồng sửa Job; chạy thử trên phiên bản Katalon Recorder đã cài.</x:v>
      </x:c>
      <x:c r="D7" s="3" t="str">
        <x:v>Assertion giá trị đã lưu sau reload; không chỉ click thành công.</x:v>
      </x:c>
      <x:c r="E7" s="3" t="str">
        <x:v>Xác nhận command từ Reference.</x:v>
      </x:c>
      <x:c r="F7" s="3" t="str">
        <x:v>Chưa thực hiện</x:v>
      </x:c>
    </x:row>
    <x:row r="8" ht="104" customHeight="1">
      <x:c r="A8" s="3" t="n">
        <x:v>4</x:v>
      </x:c>
      <x:c r="B8" s="3" t="str">
        <x:v>Tổ chức suite</x:v>
      </x:c>
      <x:c r="C8" s="3" t="str">
        <x:v>Tạo PIM_EMP, PIM_PERSONAL, PIM_JOB; đặt tên automation theo ID workbook. Tách setup, reset và cleanup.</x:v>
      </x:c>
      <x:c r="D8" s="3" t="str">
        <x:v>Mỗi test độc lập, truy xuất được fixture theo employee key.</x:v>
      </x:c>
      <x:c r="E8" s="3" t="str">
        <x:v>Không lấy đầu ra TC trước làm tiền điều kiện ngầm.</x:v>
      </x:c>
      <x:c r="F8" s="3" t="str">
        <x:v>Chưa thực hiện</x:v>
      </x:c>
    </x:row>
    <x:row r="9" ht="104" customHeight="1">
      <x:c r="A9" s="3" t="n">
        <x:v>5</x:v>
      </x:c>
      <x:c r="B9" s="3" t="str">
        <x:v>Ưu tiên P1</x:v>
      </x:c>
      <x:c r="C9" s="3" t="str">
        <x:v>Validation, tìm kiếm, dropdown và persist sau reload. Truyền data qua CSV khi nhiều bộ dùng cùng luồng.</x:v>
      </x:c>
      <x:c r="D9" s="3" t="str">
        <x:v>assertText/assertValue/assertElementPresent trên đúng trường và vùng lỗi.</x:v>
      </x:c>
      <x:c r="E9" s="3" t="str">
        <x:v>Katalon Recorder: waitForElementPresent / waitForVisible theo Reference.</x:v>
      </x:c>
      <x:c r="F9" s="3" t="str">
        <x:v>Chưa thực hiện</x:v>
      </x:c>
    </x:row>
    <x:row r="10" ht="104" customHeight="1">
      <x:c r="A10" s="3" t="n">
        <x:v>6</x:v>
      </x:c>
      <x:c r="B10" s="3" t="str">
        <x:v>Ưu tiên P2</x:v>
      </x:c>
      <x:c r="C10" s="3" t="str">
        <x:v>Upload/download, sorting và thao tác xóa. Thử quyền truy cập file của extension trước khi mở rộng.</x:v>
      </x:c>
      <x:c r="D10" s="3" t="str">
        <x:v>Kiểm tra tên/nội dung file, số dòng, thứ tự dữ liệu và dữ liệu không bị sửa ngoài phạm vi.</x:v>
      </x:c>
      <x:c r="E10" s="3" t="str">
        <x:v>Nếu upload không ổn định, thực thi manual và ghi rõ.</x:v>
      </x:c>
      <x:c r="F10" s="3" t="str">
        <x:v>Chưa thực hiện</x:v>
      </x:c>
    </x:row>
    <x:row r="11" ht="104" customHeight="1">
      <x:c r="A11" s="3" t="n">
        <x:v>7</x:v>
      </x:c>
      <x:c r="B11" s="3" t="str">
        <x:v>Locator và đồng bộ</x:v>
      </x:c>
      <x:c r="C11" s="3" t="str">
        <x:v>Ưu tiên name/id hoặc label + vùng form; đợi điều kiện hiện hữu/hiển thị. Tránh XPath tuyệt đối và pause dài.</x:v>
      </x:c>
      <x:c r="D11" s="3" t="str">
        <x:v>Đúng Save của từng khối; đúng Attachments của Personal/Job.</x:v>
      </x:c>
      <x:c r="E11" s="3" t="str">
        <x:v>Không trộn command Selenium IDE với Katalon Recorder.</x:v>
      </x:c>
      <x:c r="F11" s="3" t="str">
        <x:v>Chưa thực hiện</x:v>
      </x:c>
    </x:row>
    <x:row r="12" ht="104" customHeight="1">
      <x:c r="A12" s="3" t="n">
        <x:v>8</x:v>
      </x:c>
      <x:c r="B12" s="3" t="str">
        <x:v>Chạy và ghi kết quả</x:v>
      </x:c>
      <x:c r="C12" s="3" t="str">
        <x:v>Chạy smoke trước, sau đó từng suite. Lưu log, screenshot và thời điểm của mỗi TC đã chạy.</x:v>
      </x:c>
      <x:c r="D12" s="3" t="str">
        <x:v>So expected với actual. Failed ghi bước lỗi, lỗi script hay sản phẩm; Blocked ghi nguyên nhân.</x:v>
      </x:c>
      <x:c r="E12" s="3" t="str">
        <x:v>Chưa có số liệu thời gian hoặc tỷ lệ pass thực tế.</x:v>
      </x:c>
      <x:c r="F12" s="3" t="str">
        <x:v>Chưa thực hiện</x:v>
      </x:c>
    </x:row>
    <x:row r="13" ht="104" customHeight="1">
      <x:c r="A13" s="3" t="n">
        <x:v>9</x:v>
      </x:c>
      <x:c r="B13" s="3" t="str">
        <x:v>Dọn dẹp và regression</x:v>
      </x:c>
      <x:c r="C13" s="3" t="str">
        <x:v>Khôi phục fixture từng TC; xóa dữ liệu nhóm sau khi giữ bằng chứng. Chạy lại case lỗi và case liên quan.</x:v>
      </x:c>
      <x:c r="D13" s="3" t="str">
        <x:v>Không xóa dữ liệu của người khác. Phân biệt run gốc và rerun.</x:v>
      </x:c>
      <x:c r="E13" s="3" t="str">
        <x:v>Public demo có thể reset; không chạy tải lớn.</x:v>
      </x:c>
      <x:c r="F13" s="3" t="str">
        <x:v>Chưa thực hiện</x:v>
      </x:c>
    </x:row>
    <x:row r="14" ht="104" customHeight="1">
      <x:c r="A14" s="3" t="n">
        <x:v>10</x:v>
      </x:c>
      <x:c r="B14" s="3" t="str">
        <x:v>Review và Git</x:v>
      </x:c>
      <x:c r="C14" s="3" t="str">
        <x:v>Review 75 TC; commit workbook trên nhánh nhat/asm6-pim. Tạo PR vào dev, xử lý góp ý rồi merge.</x:v>
      </x:c>
      <x:c r="D14" s="3" t="str">
        <x:v>Workbook đúng tên; ảnh bằng chứng push/merge thật; nhóm trưởng tổng hợp sau review.</x:v>
      </x:c>
      <x:c r="E14" s="3" t="str">
        <x:v>Không ghi Passed cho case chưa chạy.</x:v>
      </x:c>
      <x:c r="F14" s="3" t="str">
        <x:v>Chưa thực hiện</x:v>
      </x:c>
    </x:row>
    <x:row r="15">
      <x:c r="A15" s="3"/>
      <x:c r="B15" s="3"/>
      <x:c r="C15" s="3"/>
      <x:c r="D15" s="3"/>
      <x:c r="E15" s="3"/>
      <x:c r="F15" s="3"/>
    </x:row>
    <x:row r="16">
      <x:c r="A16" s="3"/>
      <x:c r="B16" s="3"/>
      <x:c r="C16" s="3"/>
      <x:c r="D16" s="3"/>
      <x:c r="E16" s="3"/>
      <x:c r="F16" s="3"/>
    </x:row>
    <x:row r="17" ht="38" customHeight="1">
      <x:c r="A17" s="3" t="str">
        <x:v>P1/P2 là thứ tự ưu tiên triển khai, không phải kết quả chạy. Workbook hiện là test design; automation scripts chưa được triển khai.</x:v>
      </x:c>
      <x:c r="B17" s="3"/>
      <x:c r="C17" s="3"/>
      <x:c r="D17" s="3"/>
      <x:c r="E17" s="3"/>
      <x:c r="F17" s="3"/>
    </x:row>
    <x:row r="18">
      <x:c r="A18" s="3"/>
      <x:c r="B18" s="3"/>
      <x:c r="C18" s="3"/>
      <x:c r="D18" s="3"/>
      <x:c r="E18" s="3"/>
      <x:c r="F18" s="3"/>
    </x:row>
    <x:row r="19">
      <x:c r="A19" s="3"/>
      <x:c r="B19" s="3"/>
      <x:c r="C19" s="3"/>
      <x:c r="D19" s="3"/>
      <x:c r="E19" s="3"/>
      <x:c r="F19" s="3"/>
    </x:row>
    <x:row r="20">
      <x:c r="A20" s="3"/>
      <x:c r="B20" s="3"/>
      <x:c r="C20" s="3"/>
      <x:c r="D20" s="3"/>
      <x:c r="E20" s="3"/>
      <x:c r="F20" s="3"/>
    </x:row>
  </x:sheetData>
  <x:mergeCells>
    <x:mergeCell ref="A2:F2"/>
    <x:mergeCell ref="A17:F17"/>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 hidden="0" customWidth="1"/>
    <x:col min="2" max="2" width="7" hidden="0" customWidth="1"/>
    <x:col min="3" max="3" width="28" hidden="0" customWidth="1"/>
    <x:col min="4" max="4" width="15" hidden="0" customWidth="1"/>
    <x:col min="5" max="5" width="15" hidden="0" customWidth="1"/>
    <x:col min="6" max="6" width="17" hidden="0" customWidth="1"/>
    <x:col min="7" max="7" width="15" hidden="0" customWidth="1"/>
    <x:col min="8" max="8" width="15" hidden="0" customWidth="1"/>
    <x:col min="9" max="9" width="16" hidden="0" customWidth="1"/>
  </x:cols>
  <x:sheetData>
    <x:row r="1" ht="42" customHeight="1">
      <x:c r="B1" s="5" t="str">
        <x:v>TEST REPORT</x:v>
      </x:c>
      <x:c r="C1" s="5"/>
      <x:c r="D1" s="5"/>
      <x:c r="E1" s="5"/>
      <x:c r="F1" s="5"/>
      <x:c r="G1" s="5"/>
      <x:c r="H1" s="5"/>
      <x:c r="I1" s="5"/>
    </x:row>
    <x:row r="2">
      <x:c r="B2" s="3"/>
      <x:c r="C2" s="3"/>
      <x:c r="D2" s="3"/>
      <x:c r="E2" s="3"/>
      <x:c r="F2" s="3"/>
      <x:c r="G2" s="3"/>
      <x:c r="H2" s="3"/>
      <x:c r="I2" s="3"/>
    </x:row>
    <x:row r="3">
      <x:c r="B3" s="3" t="str">
        <x:v>Project Name</x:v>
      </x:c>
      <x:c r="C3" s="3"/>
      <x:c r="D3" s="3" t="str">
        <x:f>'Cover'!C4</x:f>
        <x:v>OrangeHRM PIM</x:v>
      </x:c>
      <x:c r="E3" s="3"/>
      <x:c r="F3" s="3"/>
      <x:c r="G3" s="3"/>
      <x:c r="H3" s="3"/>
      <x:c r="I3" s="3"/>
    </x:row>
    <x:row r="4">
      <x:c r="B4" s="3" t="str">
        <x:v>Document Code</x:v>
      </x:c>
      <x:c r="C4" s="3"/>
      <x:c r="D4" s="3" t="str">
        <x:f>'Cover'!C6</x:f>
        <x:v>Group01_23130226_VoMinhNhut</x:v>
      </x:c>
      <x:c r="E4" s="3"/>
      <x:c r="F4" s="3"/>
      <x:c r="G4" s="3"/>
      <x:c r="H4" s="3"/>
      <x:c r="I4" s="3"/>
    </x:row>
    <x:row r="5">
      <x:c r="B5" s="3" t="str">
        <x:v>Run ID / Date</x:v>
      </x:c>
      <x:c r="C5" s="3"/>
      <x:c r="D5" s="22"/>
      <x:c r="E5" s="22"/>
      <x:c r="F5" s="22"/>
      <x:c r="G5" s="22"/>
      <x:c r="H5" s="22"/>
      <x:c r="I5" s="22"/>
    </x:row>
    <x:row r="6">
      <x:c r="B6" s="3" t="str">
        <x:v>Browser / Version</x:v>
      </x:c>
      <x:c r="C6" s="3"/>
      <x:c r="D6" s="22"/>
      <x:c r="E6" s="22"/>
      <x:c r="F6" s="22"/>
      <x:c r="G6" s="22"/>
      <x:c r="H6" s="22"/>
      <x:c r="I6" s="22"/>
    </x:row>
    <x:row r="7">
      <x:c r="B7" s="3"/>
      <x:c r="C7" s="3"/>
      <x:c r="D7" s="3"/>
      <x:c r="E7" s="3"/>
      <x:c r="F7" s="3"/>
      <x:c r="G7" s="3"/>
      <x:c r="H7" s="3"/>
      <x:c r="I7" s="3"/>
    </x:row>
    <x:row r="8">
      <x:c r="B8" s="3"/>
      <x:c r="C8" s="3"/>
      <x:c r="D8" s="3"/>
      <x:c r="E8" s="3"/>
      <x:c r="F8" s="3"/>
      <x:c r="G8" s="3"/>
      <x:c r="H8" s="3"/>
      <x:c r="I8" s="3"/>
    </x:row>
    <x:row r="9" ht="32" customHeight="1">
      <x:c r="B9" s="13" t="str">
        <x:v>No.</x:v>
      </x:c>
      <x:c r="C9" s="13" t="str">
        <x:v>Module Code</x:v>
      </x:c>
      <x:c r="D9" s="13" t="str">
        <x:v>Passed</x:v>
      </x:c>
      <x:c r="E9" s="13" t="str">
        <x:v>Failed</x:v>
      </x:c>
      <x:c r="F9" s="13" t="str">
        <x:v>Untested</x:v>
      </x:c>
      <x:c r="G9" s="13" t="str">
        <x:v>Blocked</x:v>
      </x:c>
      <x:c r="H9" s="13" t="str">
        <x:v>Skipped</x:v>
      </x:c>
      <x:c r="I9" s="13" t="str">
        <x:v>Total</x:v>
      </x:c>
    </x:row>
    <x:row r="10" ht="30" customHeight="1">
      <x:c r="B10" s="3" t="n">
        <x:v>1</x:v>
      </x:c>
      <x:c r="C10" s="3" t="str">
        <x:v>PIM_EMP</x:v>
      </x:c>
      <x:c r="D10" s="3" t="n">
        <x:f>'PIM_EMP'!A6</x:f>
        <x:v>0</x:v>
      </x:c>
      <x:c r="E10" s="3" t="n">
        <x:f>'PIM_EMP'!B6</x:f>
        <x:v>0</x:v>
      </x:c>
      <x:c r="F10" s="3" t="n">
        <x:f>'PIM_EMP'!C6</x:f>
        <x:v>25</x:v>
      </x:c>
      <x:c r="G10" s="3" t="n">
        <x:f>'PIM_EMP'!D6</x:f>
        <x:v>0</x:v>
      </x:c>
      <x:c r="H10" s="3" t="n">
        <x:f>'PIM_EMP'!E6</x:f>
        <x:v>0</x:v>
      </x:c>
      <x:c r="I10" s="3" t="n">
        <x:f>'PIM_EMP'!F6</x:f>
        <x:v>25</x:v>
      </x:c>
    </x:row>
    <x:row r="11" ht="30" customHeight="1">
      <x:c r="B11" s="3" t="n">
        <x:v>2</x:v>
      </x:c>
      <x:c r="C11" s="3" t="str">
        <x:v>PIM_PERSONAL</x:v>
      </x:c>
      <x:c r="D11" s="3" t="n">
        <x:f>'PIM_PERSONAL'!A6</x:f>
        <x:v>0</x:v>
      </x:c>
      <x:c r="E11" s="3" t="n">
        <x:f>'PIM_PERSONAL'!B6</x:f>
        <x:v>0</x:v>
      </x:c>
      <x:c r="F11" s="3" t="n">
        <x:f>'PIM_PERSONAL'!C6</x:f>
        <x:v>25</x:v>
      </x:c>
      <x:c r="G11" s="3" t="n">
        <x:f>'PIM_PERSONAL'!D6</x:f>
        <x:v>0</x:v>
      </x:c>
      <x:c r="H11" s="3" t="n">
        <x:f>'PIM_PERSONAL'!E6</x:f>
        <x:v>0</x:v>
      </x:c>
      <x:c r="I11" s="3" t="n">
        <x:f>'PIM_PERSONAL'!F6</x:f>
        <x:v>25</x:v>
      </x:c>
    </x:row>
    <x:row r="12" ht="30" customHeight="1">
      <x:c r="B12" s="3" t="n">
        <x:v>3</x:v>
      </x:c>
      <x:c r="C12" s="3" t="str">
        <x:v>PIM_JOB</x:v>
      </x:c>
      <x:c r="D12" s="3" t="n">
        <x:f>'PIM_JOB'!A6</x:f>
        <x:v>0</x:v>
      </x:c>
      <x:c r="E12" s="3" t="n">
        <x:f>'PIM_JOB'!B6</x:f>
        <x:v>0</x:v>
      </x:c>
      <x:c r="F12" s="3" t="n">
        <x:f>'PIM_JOB'!C6</x:f>
        <x:v>25</x:v>
      </x:c>
      <x:c r="G12" s="3" t="n">
        <x:f>'PIM_JOB'!D6</x:f>
        <x:v>0</x:v>
      </x:c>
      <x:c r="H12" s="3" t="n">
        <x:f>'PIM_JOB'!E6</x:f>
        <x:v>0</x:v>
      </x:c>
      <x:c r="I12" s="3" t="n">
        <x:f>'PIM_JOB'!F6</x:f>
        <x:v>25</x:v>
      </x:c>
    </x:row>
    <x:row r="13">
      <x:c r="B13" s="3"/>
      <x:c r="C13" s="3"/>
      <x:c r="D13" s="3"/>
      <x:c r="E13" s="3"/>
      <x:c r="F13" s="3"/>
      <x:c r="G13" s="3"/>
      <x:c r="H13" s="3"/>
      <x:c r="I13" s="3"/>
    </x:row>
    <x:row r="14">
      <x:c r="B14" s="15" t="str">
        <x:v>Total</x:v>
      </x:c>
      <x:c r="C14" s="15"/>
      <x:c r="D14" s="15" t="n">
        <x:f>SUM(D10:D12)</x:f>
        <x:v>0</x:v>
      </x:c>
      <x:c r="E14" s="15" t="n">
        <x:f>SUM(E10:E12)</x:f>
        <x:v>0</x:v>
      </x:c>
      <x:c r="F14" s="15" t="n">
        <x:f>SUM(F10:F12)</x:f>
        <x:v>75</x:v>
      </x:c>
      <x:c r="G14" s="15" t="n">
        <x:f>SUM(G10:G12)</x:f>
        <x:v>0</x:v>
      </x:c>
      <x:c r="H14" s="15" t="n">
        <x:f>SUM(H10:H12)</x:f>
        <x:v>0</x:v>
      </x:c>
      <x:c r="I14" s="15" t="n">
        <x:f>SUM(I10:I12)</x:f>
        <x:v>75</x:v>
      </x:c>
    </x:row>
    <x:row r="15">
      <x:c r="B15" s="3"/>
      <x:c r="C15" s="3"/>
      <x:c r="D15" s="3"/>
      <x:c r="E15" s="3"/>
      <x:c r="F15" s="3"/>
      <x:c r="G15" s="3"/>
      <x:c r="H15" s="3"/>
      <x:c r="I15" s="3"/>
    </x:row>
    <x:row r="16">
      <x:c r="B16" s="3"/>
      <x:c r="C16" s="3"/>
      <x:c r="D16" s="3"/>
      <x:c r="E16" s="3"/>
      <x:c r="F16" s="3"/>
      <x:c r="G16" s="3"/>
      <x:c r="H16" s="3"/>
      <x:c r="I16" s="3"/>
    </x:row>
    <x:row r="17">
      <x:c r="B17" s="3" t="str">
        <x:v>Execution coverage</x:v>
      </x:c>
      <x:c r="C17" s="3"/>
      <x:c r="D17" s="3"/>
      <x:c r="E17" s="23" t="n">
        <x:f>IF(I14=0,"",(D14+E14)/I14)</x:f>
        <x:v>0</x:v>
      </x:c>
      <x:c r="F17" s="3"/>
      <x:c r="G17" s="3"/>
      <x:c r="H17" s="3"/>
      <x:c r="I17" s="3"/>
    </x:row>
    <x:row r="18">
      <x:c r="B18" s="3" t="str">
        <x:v>Pass rate (executed only)</x:v>
      </x:c>
      <x:c r="C18" s="3"/>
      <x:c r="D18" s="3"/>
      <x:c r="E18" s="23" t="str">
        <x:f>IF(D14+E14=0,"Chưa thực thi",D14/(D14+E14))</x:f>
        <x:v>Chưa thực thi</x:v>
      </x:c>
      <x:c r="F18" s="3"/>
      <x:c r="G18" s="3"/>
      <x:c r="H18" s="3"/>
      <x:c r="I18" s="3"/>
    </x:row>
    <x:row r="19">
      <x:c r="B19" s="3"/>
      <x:c r="C19" s="3"/>
      <x:c r="D19" s="3"/>
      <x:c r="E19" s="3"/>
      <x:c r="F19" s="3"/>
      <x:c r="G19" s="3"/>
      <x:c r="H19" s="3"/>
      <x:c r="I19" s="3"/>
    </x:row>
    <x:row r="20" ht="40" customHeight="1">
      <x:c r="B20" s="3" t="str">
        <x:v>Execution coverage = (Passed + Failed) / Total. Pass rate = Passed / (Passed + Failed). Blocked và Skipped không được tính là đã thực thi.</x:v>
      </x:c>
      <x:c r="C20" s="3"/>
      <x:c r="D20" s="3"/>
      <x:c r="E20" s="3"/>
      <x:c r="F20" s="3"/>
      <x:c r="G20" s="3"/>
      <x:c r="H20" s="3"/>
      <x:c r="I20" s="3"/>
    </x:row>
    <x:row r="21">
      <x:c r="B21" s="3"/>
      <x:c r="C21" s="3"/>
      <x:c r="D21" s="3"/>
      <x:c r="E21" s="3"/>
      <x:c r="F21" s="3"/>
      <x:c r="G21" s="3"/>
      <x:c r="H21" s="3"/>
      <x:c r="I21" s="3"/>
    </x:row>
    <x:row r="22" ht="40" customHeight="1">
      <x:c r="B22" s="3" t="str">
        <x:v>Sau run, điền actual result, Defect ID (nếu có), ảnh/log và ngày thực chạy tại sheet test case. Các tổng hợp tự cập nhật từ cột Result.</x:v>
      </x:c>
      <x:c r="C22" s="3"/>
      <x:c r="D22" s="3"/>
      <x:c r="E22" s="3"/>
      <x:c r="F22" s="3"/>
      <x:c r="G22" s="3"/>
      <x:c r="H22" s="3"/>
      <x:c r="I22" s="3"/>
    </x:row>
    <x:row r="23">
      <x:c r="B23" s="3"/>
      <x:c r="C23" s="3"/>
      <x:c r="D23" s="3"/>
      <x:c r="E23" s="3"/>
      <x:c r="F23" s="3"/>
      <x:c r="G23" s="3"/>
      <x:c r="H23" s="3"/>
      <x:c r="I23" s="3"/>
    </x:row>
  </x:sheetData>
  <x:mergeCells>
    <x:mergeCell ref="B1:I1"/>
    <x:mergeCell ref="B3:C3"/>
    <x:mergeCell ref="D3:I3"/>
    <x:mergeCell ref="B4:C4"/>
    <x:mergeCell ref="D4:I4"/>
    <x:mergeCell ref="B5:C5"/>
    <x:mergeCell ref="D5:F5"/>
    <x:mergeCell ref="G5:I5"/>
    <x:mergeCell ref="B6:C6"/>
    <x:mergeCell ref="D6:I6"/>
    <x:mergeCell ref="B14:C14"/>
    <x:mergeCell ref="B17:D17"/>
    <x:mergeCell ref="E17:F17"/>
    <x:mergeCell ref="B18:D18"/>
    <x:mergeCell ref="E18:F18"/>
    <x:mergeCell ref="B20:I20"/>
    <x:mergeCell ref="B22:I22"/>
  </x:mergeCells>
  <x:pageMargins left="0.7" right="0.7" top="0.75" bottom="0.75" header="0.3" footer="0.3"/>
</x:worksheet>
</file>